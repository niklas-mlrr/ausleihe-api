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Buchausleihe Admins\2025\Bestellungen\"/>
    </mc:Choice>
  </mc:AlternateContent>
  <xr:revisionPtr revIDLastSave="0" documentId="13_ncr:1_{5E8B5B29-19BA-4394-A142-B0707A863CF7}" xr6:coauthVersionLast="36" xr6:coauthVersionMax="36" xr10:uidLastSave="{00000000-0000-0000-0000-000000000000}"/>
  <bookViews>
    <workbookView xWindow="0" yWindow="0" windowWidth="17250" windowHeight="5640" xr2:uid="{E75077F3-94AB-416B-B6BB-4666D62B826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13" i="1" l="1"/>
  <c r="H12" i="1" l="1"/>
  <c r="H11" i="1"/>
  <c r="H10" i="1"/>
  <c r="H15" i="1" l="1"/>
  <c r="H17" i="1" s="1"/>
  <c r="H16" i="1" l="1"/>
</calcChain>
</file>

<file path=xl/sharedStrings.xml><?xml version="1.0" encoding="utf-8"?>
<sst xmlns="http://schemas.openxmlformats.org/spreadsheetml/2006/main" count="48" uniqueCount="43">
  <si>
    <t>Lernmittel-Bestellschein</t>
  </si>
  <si>
    <t>Schule/Schulstempel/Schulform:</t>
  </si>
  <si>
    <t>Tilman-Riemenschneider- Gymnasium</t>
  </si>
  <si>
    <t>Schuljahr  2023 / 2024</t>
  </si>
  <si>
    <r>
      <rPr>
        <b/>
        <sz val="10"/>
        <rFont val="Times New Roman"/>
        <family val="1"/>
      </rPr>
      <t>Dörgestr. 34
37520 Osterode am Harz</t>
    </r>
  </si>
  <si>
    <t>Schulnummer:</t>
  </si>
  <si>
    <t>Im Namen und für Rechnung des Landes Niedersachsen werden die nachstehenden Lernmittel bestellt:</t>
  </si>
  <si>
    <t>Von der Schule nach Lieferung auszufüllen</t>
  </si>
  <si>
    <t>(für Bemerkungen Rückseite benutzen)</t>
  </si>
  <si>
    <t>Lfd. Nr.</t>
  </si>
  <si>
    <t>Stück-zahl</t>
  </si>
  <si>
    <t>Verfasser/Titel</t>
  </si>
  <si>
    <t>Verlag</t>
  </si>
  <si>
    <t>Best.-Nr.</t>
  </si>
  <si>
    <t>Einzelpreis (brutto)</t>
  </si>
  <si>
    <t>Gesamtpreis (brutto)</t>
  </si>
  <si>
    <t>Eingangs- datum</t>
  </si>
  <si>
    <t>Datum der Rechnung</t>
  </si>
  <si>
    <r>
      <rPr>
        <b/>
        <sz val="8"/>
        <rFont val="Times New Roman"/>
        <family val="1"/>
      </rPr>
      <t xml:space="preserve">Rechnungs- betrag </t>
    </r>
    <r>
      <rPr>
        <sz val="8"/>
        <rFont val="Times New Roman"/>
        <family val="1"/>
      </rPr>
      <t>(brutto)</t>
    </r>
  </si>
  <si>
    <t>Inventar-Nr.</t>
  </si>
  <si>
    <t>Summe</t>
  </si>
  <si>
    <r>
      <rPr>
        <b/>
        <sz val="8"/>
        <rFont val="Times New Roman"/>
        <family val="1"/>
      </rPr>
      <t>12 %
Nachlass</t>
    </r>
  </si>
  <si>
    <t>Endsumme</t>
  </si>
  <si>
    <t>Sachlich und rechnerisch richtig</t>
  </si>
  <si>
    <t>lfd. Nr. 2</t>
  </si>
  <si>
    <t>Klett</t>
  </si>
  <si>
    <r>
      <t xml:space="preserve">Die bestellten Lernmittel sind für das Ausleihverfahren in der Schule bestimmt.
</t>
    </r>
    <r>
      <rPr>
        <b/>
        <sz val="8"/>
        <rFont val="Times New Roman"/>
        <family val="1"/>
      </rPr>
      <t xml:space="preserve">Nach § 7 Abs. 3 Buchpreisbindungsgesetz wird ein Preisnachlass von 12 % gewährt.
</t>
    </r>
    <r>
      <rPr>
        <sz val="8"/>
        <rFont val="Times New Roman"/>
        <family val="1"/>
      </rPr>
      <t xml:space="preserve">Die Bestellung wird unter Beachtung der Vorschriften der Verdingungsordnung für Leistungen (VOL/A) aufgegeben. Danach dürfen bei preisgebundenen Schulbüchern Aufträge bis zu einem
Höchstwert von 15.000 € freihändig vergeben werden; diese Aufträge sollen auf mehrere Bewerber aufgeteilt oder an jährlich wechselnde, möglichst auch kleinere und mittlere Unternehmen vergeben werden. Aufträge über 15.000 € müssen beschränkt ausgeschrieben werden.
</t>
    </r>
    <r>
      <rPr>
        <b/>
        <sz val="8"/>
        <rFont val="Times New Roman"/>
        <family val="1"/>
      </rPr>
      <t xml:space="preserve">Die Lernmittel sind kostenfrei gegen Rechnung </t>
    </r>
    <r>
      <rPr>
        <sz val="8"/>
        <rFont val="Times New Roman"/>
        <family val="1"/>
      </rPr>
      <t xml:space="preserve">(in zweifacher Ausfertigung) </t>
    </r>
    <r>
      <rPr>
        <b/>
        <sz val="8"/>
        <rFont val="Times New Roman"/>
        <family val="1"/>
      </rPr>
      <t>an die Schule zum nebenstehenden Termin zu liefern.</t>
    </r>
  </si>
  <si>
    <t>Haushaltsjahr:   2025</t>
  </si>
  <si>
    <t>Terra 3 (Neuauflage)</t>
  </si>
  <si>
    <t>978-3-12-105209-7</t>
  </si>
  <si>
    <t>Lfd.-Nr. 8</t>
  </si>
  <si>
    <t>Green Line 5 (Neuauflage)</t>
  </si>
  <si>
    <t>978-3-12-874050-8</t>
  </si>
  <si>
    <t>Politik&amp;Co. Niedersachsen, Band 9/10</t>
  </si>
  <si>
    <t>C.C. Buchner</t>
  </si>
  <si>
    <t>978-3-661-71106-5</t>
  </si>
  <si>
    <t>Moment mal!</t>
  </si>
  <si>
    <t>978-3-12-006608-8</t>
  </si>
  <si>
    <t>Bioskop S I 9/10</t>
  </si>
  <si>
    <t>978-3-14-150622-8</t>
  </si>
  <si>
    <t>Westermann</t>
  </si>
  <si>
    <t>Ort, Datum Osterode, 12.08.2025
Unterschrift</t>
  </si>
  <si>
    <t>Liefertermin:   19.08.2025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</si>
</sst>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color rgb="FF000000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9"/>
      <color rgb="FF000000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333333"/>
      <name val="Times New Roman"/>
      <family val="1"/>
    </font>
    <font>
      <b/>
      <sz val="10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2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4E4E4"/>
      </patternFill>
    </fill>
    <fill>
      <patternFill patternType="solid">
        <fgColor rgb="FFDFDFDF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6">
    <xf numFmtId="0" fontId="0" fillId="0" borderId="0" xfId="0"/>
    <xf numFmtId="0" fontId="4" fillId="0" borderId="1" xfId="0" applyFont="1" applyFill="1" applyBorder="1" applyAlignment="1">
      <alignment wrapText="1"/>
    </xf>
    <xf numFmtId="0" fontId="4" fillId="0" borderId="3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vertical="top" wrapText="1"/>
    </xf>
    <xf numFmtId="0" fontId="4" fillId="0" borderId="4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6" fillId="0" borderId="0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1" fontId="15" fillId="0" borderId="20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left" vertical="top"/>
    </xf>
    <xf numFmtId="0" fontId="6" fillId="2" borderId="15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center" vertical="center" wrapText="1"/>
    </xf>
    <xf numFmtId="44" fontId="15" fillId="0" borderId="33" xfId="1" applyFont="1" applyFill="1" applyBorder="1" applyAlignment="1">
      <alignment horizontal="center" vertical="center" shrinkToFit="1"/>
    </xf>
    <xf numFmtId="44" fontId="15" fillId="0" borderId="34" xfId="1" applyFont="1" applyFill="1" applyBorder="1" applyAlignment="1">
      <alignment horizontal="center" vertical="center" shrinkToFit="1"/>
    </xf>
    <xf numFmtId="0" fontId="13" fillId="0" borderId="41" xfId="0" applyFont="1" applyFill="1" applyBorder="1" applyAlignment="1">
      <alignment horizontal="right" vertical="center" wrapText="1"/>
    </xf>
    <xf numFmtId="44" fontId="17" fillId="0" borderId="42" xfId="1" applyFont="1" applyFill="1" applyBorder="1" applyAlignment="1">
      <alignment horizontal="center" vertical="center" shrinkToFit="1"/>
    </xf>
    <xf numFmtId="0" fontId="6" fillId="2" borderId="4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right" vertical="center" wrapText="1"/>
    </xf>
    <xf numFmtId="0" fontId="6" fillId="0" borderId="45" xfId="0" applyFont="1" applyFill="1" applyBorder="1" applyAlignment="1">
      <alignment horizontal="right" vertical="center" wrapText="1"/>
    </xf>
    <xf numFmtId="44" fontId="17" fillId="0" borderId="21" xfId="1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right" vertical="center" wrapText="1"/>
    </xf>
    <xf numFmtId="0" fontId="13" fillId="0" borderId="46" xfId="0" applyFont="1" applyFill="1" applyBorder="1" applyAlignment="1">
      <alignment horizontal="right" vertical="center" wrapText="1"/>
    </xf>
    <xf numFmtId="44" fontId="17" fillId="0" borderId="47" xfId="1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right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" fontId="15" fillId="0" borderId="58" xfId="0" applyNumberFormat="1" applyFont="1" applyFill="1" applyBorder="1" applyAlignment="1">
      <alignment horizontal="center" vertical="center" shrinkToFit="1"/>
    </xf>
    <xf numFmtId="1" fontId="15" fillId="0" borderId="59" xfId="0" applyNumberFormat="1" applyFont="1" applyFill="1" applyBorder="1" applyAlignment="1">
      <alignment horizontal="center" vertical="center" shrinkToFit="1"/>
    </xf>
    <xf numFmtId="0" fontId="16" fillId="0" borderId="59" xfId="0" applyFont="1" applyFill="1" applyBorder="1" applyAlignment="1">
      <alignment horizontal="center" vertical="center" wrapText="1"/>
    </xf>
    <xf numFmtId="44" fontId="15" fillId="0" borderId="59" xfId="1" applyFont="1" applyFill="1" applyBorder="1" applyAlignment="1">
      <alignment horizontal="center" vertical="center" shrinkToFit="1"/>
    </xf>
    <xf numFmtId="44" fontId="15" fillId="0" borderId="60" xfId="1" applyFont="1" applyFill="1" applyBorder="1" applyAlignment="1">
      <alignment horizontal="center" vertical="center" shrinkToFit="1"/>
    </xf>
    <xf numFmtId="0" fontId="20" fillId="0" borderId="0" xfId="0" applyFont="1" applyAlignment="1">
      <alignment vertical="center" wrapText="1"/>
    </xf>
    <xf numFmtId="0" fontId="18" fillId="0" borderId="0" xfId="0" applyFont="1"/>
    <xf numFmtId="0" fontId="18" fillId="0" borderId="0" xfId="0" applyFont="1" applyAlignment="1">
      <alignment vertical="center"/>
    </xf>
    <xf numFmtId="0" fontId="6" fillId="3" borderId="50" xfId="0" applyFont="1" applyFill="1" applyBorder="1" applyAlignment="1">
      <alignment horizontal="left" wrapText="1"/>
    </xf>
    <xf numFmtId="0" fontId="6" fillId="3" borderId="51" xfId="0" applyFont="1" applyFill="1" applyBorder="1" applyAlignment="1">
      <alignment horizontal="left" wrapText="1"/>
    </xf>
    <xf numFmtId="0" fontId="6" fillId="3" borderId="38" xfId="0" applyFont="1" applyFill="1" applyBorder="1" applyAlignment="1">
      <alignment horizontal="left" wrapText="1"/>
    </xf>
    <xf numFmtId="0" fontId="3" fillId="2" borderId="43" xfId="0" applyFont="1" applyFill="1" applyBorder="1" applyAlignment="1">
      <alignment horizontal="left" vertical="top" wrapText="1" indent="11"/>
    </xf>
    <xf numFmtId="0" fontId="3" fillId="2" borderId="44" xfId="0" applyFont="1" applyFill="1" applyBorder="1" applyAlignment="1">
      <alignment horizontal="left" vertical="top" wrapText="1" indent="11"/>
    </xf>
    <xf numFmtId="0" fontId="3" fillId="2" borderId="30" xfId="0" applyFont="1" applyFill="1" applyBorder="1" applyAlignment="1">
      <alignment horizontal="left" vertical="top" wrapText="1" indent="11"/>
    </xf>
    <xf numFmtId="0" fontId="3" fillId="2" borderId="52" xfId="0" applyFont="1" applyFill="1" applyBorder="1" applyAlignment="1">
      <alignment horizontal="left" vertical="top" wrapText="1" indent="11"/>
    </xf>
    <xf numFmtId="0" fontId="3" fillId="2" borderId="54" xfId="0" applyFont="1" applyFill="1" applyBorder="1" applyAlignment="1">
      <alignment horizontal="left" vertical="top" wrapText="1" indent="11"/>
    </xf>
    <xf numFmtId="0" fontId="3" fillId="2" borderId="53" xfId="0" applyFont="1" applyFill="1" applyBorder="1" applyAlignment="1">
      <alignment horizontal="left" vertical="top" wrapText="1" indent="11"/>
    </xf>
    <xf numFmtId="0" fontId="3" fillId="0" borderId="52" xfId="0" applyFont="1" applyFill="1" applyBorder="1" applyAlignment="1">
      <alignment horizontal="left" vertical="top" wrapText="1"/>
    </xf>
    <xf numFmtId="0" fontId="6" fillId="0" borderId="54" xfId="0" applyFont="1" applyFill="1" applyBorder="1" applyAlignment="1">
      <alignment horizontal="left" vertical="top" wrapText="1"/>
    </xf>
    <xf numFmtId="0" fontId="6" fillId="0" borderId="53" xfId="0" applyFont="1" applyFill="1" applyBorder="1" applyAlignment="1">
      <alignment horizontal="left" vertical="top" wrapText="1"/>
    </xf>
    <xf numFmtId="0" fontId="6" fillId="3" borderId="30" xfId="0" applyFont="1" applyFill="1" applyBorder="1" applyAlignment="1">
      <alignment horizontal="left" vertical="top" wrapText="1"/>
    </xf>
    <xf numFmtId="0" fontId="6" fillId="3" borderId="13" xfId="0" applyFont="1" applyFill="1" applyBorder="1" applyAlignment="1">
      <alignment horizontal="left" vertical="top" wrapText="1"/>
    </xf>
    <xf numFmtId="0" fontId="6" fillId="3" borderId="38" xfId="0" applyFont="1" applyFill="1" applyBorder="1" applyAlignment="1">
      <alignment horizontal="left" vertical="top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6" fillId="0" borderId="39" xfId="0" applyFont="1" applyFill="1" applyBorder="1" applyAlignment="1">
      <alignment horizontal="left" vertical="center" wrapText="1"/>
    </xf>
    <xf numFmtId="0" fontId="6" fillId="0" borderId="40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12" fillId="0" borderId="43" xfId="0" applyFont="1" applyFill="1" applyBorder="1" applyAlignment="1">
      <alignment horizontal="left" vertical="top" wrapText="1"/>
    </xf>
    <xf numFmtId="0" fontId="14" fillId="0" borderId="44" xfId="0" applyFont="1" applyFill="1" applyBorder="1" applyAlignment="1">
      <alignment horizontal="left" vertical="top" wrapText="1"/>
    </xf>
    <xf numFmtId="0" fontId="14" fillId="0" borderId="12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6" fillId="3" borderId="22" xfId="0" applyFont="1" applyFill="1" applyBorder="1" applyAlignment="1">
      <alignment horizontal="left" vertical="top" wrapText="1"/>
    </xf>
    <xf numFmtId="0" fontId="6" fillId="3" borderId="23" xfId="0" applyFont="1" applyFill="1" applyBorder="1" applyAlignment="1">
      <alignment horizontal="left" vertical="top" wrapText="1"/>
    </xf>
    <xf numFmtId="0" fontId="6" fillId="3" borderId="48" xfId="0" applyFont="1" applyFill="1" applyBorder="1" applyAlignment="1">
      <alignment horizontal="left" vertical="center" wrapText="1"/>
    </xf>
    <xf numFmtId="0" fontId="6" fillId="3" borderId="49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top" wrapText="1"/>
    </xf>
    <xf numFmtId="0" fontId="11" fillId="0" borderId="11" xfId="0" applyFont="1" applyFill="1" applyBorder="1" applyAlignment="1">
      <alignment horizontal="left" vertical="top" wrapText="1"/>
    </xf>
    <xf numFmtId="0" fontId="11" fillId="0" borderId="52" xfId="0" applyFont="1" applyFill="1" applyBorder="1" applyAlignment="1">
      <alignment horizontal="left" vertical="top" wrapText="1"/>
    </xf>
    <xf numFmtId="0" fontId="11" fillId="0" borderId="53" xfId="0" applyFont="1" applyFill="1" applyBorder="1" applyAlignment="1">
      <alignment horizontal="left" vertical="top" wrapText="1"/>
    </xf>
    <xf numFmtId="0" fontId="3" fillId="0" borderId="59" xfId="0" applyFont="1" applyFill="1" applyBorder="1" applyAlignment="1">
      <alignment horizontal="center" vertical="center" wrapText="1"/>
    </xf>
    <xf numFmtId="0" fontId="6" fillId="0" borderId="59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left" vertical="top" wrapText="1"/>
    </xf>
    <xf numFmtId="0" fontId="6" fillId="2" borderId="31" xfId="0" applyFont="1" applyFill="1" applyBorder="1" applyAlignment="1">
      <alignment horizontal="left" vertical="top" wrapText="1"/>
    </xf>
    <xf numFmtId="0" fontId="6" fillId="2" borderId="14" xfId="0" applyFont="1" applyFill="1" applyBorder="1" applyAlignment="1">
      <alignment horizontal="left" vertical="top" wrapText="1"/>
    </xf>
    <xf numFmtId="0" fontId="6" fillId="3" borderId="27" xfId="0" applyFont="1" applyFill="1" applyBorder="1" applyAlignment="1">
      <alignment horizontal="left" vertical="top" wrapText="1"/>
    </xf>
    <xf numFmtId="0" fontId="6" fillId="3" borderId="32" xfId="0" applyFont="1" applyFill="1" applyBorder="1" applyAlignment="1">
      <alignment horizontal="left" vertical="top" wrapText="1"/>
    </xf>
    <xf numFmtId="0" fontId="6" fillId="3" borderId="35" xfId="0" applyFont="1" applyFill="1" applyBorder="1" applyAlignment="1">
      <alignment horizontal="left" vertical="top" wrapText="1"/>
    </xf>
    <xf numFmtId="0" fontId="6" fillId="3" borderId="28" xfId="0" applyFont="1" applyFill="1" applyBorder="1" applyAlignment="1">
      <alignment horizontal="left" vertical="top" wrapText="1"/>
    </xf>
    <xf numFmtId="0" fontId="6" fillId="3" borderId="29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6" fillId="3" borderId="36" xfId="0" applyFont="1" applyFill="1" applyBorder="1" applyAlignment="1">
      <alignment horizontal="left" vertical="top" wrapText="1"/>
    </xf>
    <xf numFmtId="0" fontId="6" fillId="3" borderId="37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wrapText="1"/>
    </xf>
    <xf numFmtId="3" fontId="10" fillId="0" borderId="4" xfId="0" applyNumberFormat="1" applyFont="1" applyFill="1" applyBorder="1" applyAlignment="1">
      <alignment horizontal="left" vertical="top" shrinkToFit="1"/>
    </xf>
    <xf numFmtId="3" fontId="10" fillId="0" borderId="0" xfId="0" applyNumberFormat="1" applyFont="1" applyFill="1" applyBorder="1" applyAlignment="1">
      <alignment horizontal="left" vertical="top" shrinkToFit="1"/>
    </xf>
    <xf numFmtId="3" fontId="10" fillId="0" borderId="5" xfId="0" applyNumberFormat="1" applyFont="1" applyFill="1" applyBorder="1" applyAlignment="1">
      <alignment horizontal="left" vertical="top" shrinkToFit="1"/>
    </xf>
    <xf numFmtId="0" fontId="11" fillId="0" borderId="0" xfId="0" applyFont="1" applyFill="1" applyBorder="1" applyAlignment="1">
      <alignment horizontal="left" vertical="top" wrapText="1" indent="16"/>
    </xf>
    <xf numFmtId="0" fontId="4" fillId="0" borderId="4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19" fillId="0" borderId="61" xfId="0" applyFont="1" applyFill="1" applyBorder="1" applyAlignment="1">
      <alignment horizontal="center" vertical="center"/>
    </xf>
    <xf numFmtId="0" fontId="19" fillId="0" borderId="62" xfId="0" applyFont="1" applyFill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1" fillId="0" borderId="55" xfId="0" applyFont="1" applyFill="1" applyBorder="1" applyAlignment="1">
      <alignment horizontal="center"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59" xfId="0" applyFont="1" applyFill="1" applyBorder="1" applyAlignment="1">
      <alignment horizontal="center" vertical="center" wrapText="1"/>
    </xf>
    <xf numFmtId="0" fontId="11" fillId="0" borderId="6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0" fontId="7" fillId="2" borderId="11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12" fillId="2" borderId="0" xfId="0" applyFont="1" applyFill="1" applyBorder="1" applyAlignment="1">
      <alignment horizontal="center" vertical="top" wrapText="1"/>
    </xf>
    <xf numFmtId="0" fontId="12" fillId="2" borderId="13" xfId="0" applyFont="1" applyFill="1" applyBorder="1" applyAlignment="1">
      <alignment horizontal="center" vertical="top" wrapText="1"/>
    </xf>
    <xf numFmtId="0" fontId="13" fillId="0" borderId="59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21689</xdr:colOff>
      <xdr:row>1</xdr:row>
      <xdr:rowOff>22274</xdr:rowOff>
    </xdr:from>
    <xdr:to>
      <xdr:col>4</xdr:col>
      <xdr:colOff>762001</xdr:colOff>
      <xdr:row>5</xdr:row>
      <xdr:rowOff>342900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30F94F8-B95F-4297-AE96-75E8F91865A1}"/>
            </a:ext>
          </a:extLst>
        </xdr:cNvPr>
        <xdr:cNvSpPr txBox="1"/>
      </xdr:nvSpPr>
      <xdr:spPr>
        <a:xfrm>
          <a:off x="2399129" y="311834"/>
          <a:ext cx="1532792" cy="11207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50">
              <a:ln>
                <a:noFill/>
              </a:ln>
            </a:rPr>
            <a:t> </a:t>
          </a:r>
          <a:r>
            <a:rPr lang="de-DE" sz="1000" b="1">
              <a:ln>
                <a:noFill/>
              </a:ln>
              <a:latin typeface="Times New Roman" panose="02020603050405020304" pitchFamily="18" charset="0"/>
              <a:cs typeface="Times New Roman" panose="02020603050405020304" pitchFamily="18" charset="0"/>
            </a:rPr>
            <a:t>An:</a:t>
          </a:r>
        </a:p>
        <a:p>
          <a:r>
            <a:rPr lang="de-DE" sz="1000" b="1">
              <a:ln>
                <a:noFill/>
              </a:ln>
              <a:latin typeface="Times New Roman" panose="02020603050405020304" pitchFamily="18" charset="0"/>
              <a:cs typeface="Times New Roman" panose="02020603050405020304" pitchFamily="18" charset="0"/>
            </a:rPr>
            <a:t>Buchhandlung</a:t>
          </a:r>
        </a:p>
        <a:p>
          <a:r>
            <a:rPr lang="de-DE" sz="1000" b="1">
              <a:ln>
                <a:noFill/>
              </a:ln>
              <a:latin typeface="Times New Roman" panose="02020603050405020304" pitchFamily="18" charset="0"/>
              <a:cs typeface="Times New Roman" panose="02020603050405020304" pitchFamily="18" charset="0"/>
            </a:rPr>
            <a:t>Otto Dörpmund</a:t>
          </a:r>
        </a:p>
        <a:p>
          <a:r>
            <a:rPr lang="de-DE" sz="1000" b="1">
              <a:ln>
                <a:noFill/>
              </a:ln>
              <a:latin typeface="Times New Roman" panose="02020603050405020304" pitchFamily="18" charset="0"/>
              <a:cs typeface="Times New Roman" panose="02020603050405020304" pitchFamily="18" charset="0"/>
            </a:rPr>
            <a:t>Osteroder Str. 40</a:t>
          </a:r>
        </a:p>
        <a:p>
          <a:endParaRPr lang="de-DE" sz="300" b="1">
            <a:ln>
              <a:noFill/>
            </a:ln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de-DE" sz="1000" b="1">
              <a:ln>
                <a:noFill/>
              </a:ln>
              <a:latin typeface="Times New Roman" panose="02020603050405020304" pitchFamily="18" charset="0"/>
              <a:cs typeface="Times New Roman" panose="02020603050405020304" pitchFamily="18" charset="0"/>
            </a:rPr>
            <a:t> 37539 Bad Grund (Harz)</a:t>
          </a:r>
        </a:p>
        <a:p>
          <a:endParaRPr lang="de-DE" sz="1000" b="1">
            <a:ln>
              <a:noFill/>
            </a:ln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1</xdr:row>
      <xdr:rowOff>190501</xdr:rowOff>
    </xdr:from>
    <xdr:to>
      <xdr:col>2</xdr:col>
      <xdr:colOff>827943</xdr:colOff>
      <xdr:row>3</xdr:row>
      <xdr:rowOff>315058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C9172428-9836-403C-B4EB-711A877FEF0E}"/>
            </a:ext>
          </a:extLst>
        </xdr:cNvPr>
        <xdr:cNvSpPr txBox="1"/>
      </xdr:nvSpPr>
      <xdr:spPr>
        <a:xfrm>
          <a:off x="0" y="480061"/>
          <a:ext cx="1719483" cy="680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0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Tilman-Riemenschneider</a:t>
          </a:r>
          <a:r>
            <a:rPr lang="de-DE" sz="10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de-DE" sz="10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Gymnasium</a:t>
          </a:r>
        </a:p>
        <a:p>
          <a:pPr algn="l"/>
          <a:r>
            <a:rPr lang="de-DE" sz="10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Dörgestr. 34</a:t>
          </a:r>
          <a:endParaRPr lang="de-DE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r>
            <a:rPr lang="de-DE" sz="10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37520 Osterode am Harz</a:t>
          </a:r>
          <a:endParaRPr lang="de-DE" sz="12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de-DE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567C-1C01-46D1-A5CC-EC5BD9F60EFB}">
  <dimension ref="A1:O22"/>
  <sheetViews>
    <sheetView tabSelected="1" workbookViewId="0">
      <selection activeCell="G18" sqref="G18:H19"/>
    </sheetView>
  </sheetViews>
  <sheetFormatPr baseColWidth="10" defaultRowHeight="15" x14ac:dyDescent="0.25"/>
  <cols>
    <col min="6" max="6" width="16.140625" customWidth="1"/>
    <col min="8" max="8" width="11.140625" customWidth="1"/>
    <col min="9" max="13" width="11.42578125" hidden="1" customWidth="1"/>
  </cols>
  <sheetData>
    <row r="1" spans="1:15" ht="22.5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5" ht="18.75" x14ac:dyDescent="0.25">
      <c r="A2" s="89" t="s">
        <v>1</v>
      </c>
      <c r="B2" s="90"/>
      <c r="C2" s="91"/>
      <c r="D2" s="1"/>
      <c r="E2" s="2"/>
      <c r="F2" s="3"/>
      <c r="G2" s="104"/>
      <c r="H2" s="104"/>
      <c r="I2" s="104"/>
      <c r="J2" s="4"/>
      <c r="K2" s="4"/>
      <c r="L2" s="105"/>
      <c r="M2" s="105"/>
    </row>
    <row r="3" spans="1:15" ht="16.5" x14ac:dyDescent="0.25">
      <c r="A3" s="106" t="s">
        <v>2</v>
      </c>
      <c r="B3" s="107"/>
      <c r="C3" s="108"/>
      <c r="D3" s="5"/>
      <c r="E3" s="6"/>
      <c r="F3" s="109" t="s">
        <v>27</v>
      </c>
      <c r="G3" s="110"/>
      <c r="H3" s="110"/>
      <c r="I3" s="111"/>
      <c r="J3" s="112" t="s">
        <v>3</v>
      </c>
      <c r="K3" s="113"/>
      <c r="L3" s="113"/>
      <c r="M3" s="114"/>
    </row>
    <row r="4" spans="1:15" x14ac:dyDescent="0.25">
      <c r="A4" s="130" t="s">
        <v>4</v>
      </c>
      <c r="B4" s="131"/>
      <c r="C4" s="132"/>
      <c r="D4" s="5"/>
      <c r="E4" s="6"/>
      <c r="F4" s="97" t="s">
        <v>30</v>
      </c>
      <c r="G4" s="98"/>
      <c r="H4" s="98"/>
      <c r="I4" s="7"/>
      <c r="J4" s="133" t="s">
        <v>24</v>
      </c>
      <c r="K4" s="134"/>
      <c r="L4" s="134"/>
      <c r="M4" s="135"/>
    </row>
    <row r="5" spans="1:15" x14ac:dyDescent="0.25">
      <c r="A5" s="89" t="s">
        <v>5</v>
      </c>
      <c r="B5" s="90"/>
      <c r="C5" s="91"/>
      <c r="D5" s="5"/>
      <c r="E5" s="6"/>
      <c r="F5" s="3"/>
      <c r="G5" s="92"/>
      <c r="H5" s="92"/>
      <c r="I5" s="92"/>
      <c r="J5" s="92"/>
      <c r="K5" s="92"/>
      <c r="L5" s="92"/>
      <c r="M5" s="92"/>
    </row>
    <row r="6" spans="1:15" ht="27.75" thickBot="1" x14ac:dyDescent="0.3">
      <c r="A6" s="93">
        <v>66230</v>
      </c>
      <c r="B6" s="94"/>
      <c r="C6" s="95"/>
      <c r="D6" s="5"/>
      <c r="E6" s="6"/>
      <c r="F6" s="3"/>
      <c r="G6" s="96"/>
      <c r="H6" s="96"/>
      <c r="I6" s="96"/>
      <c r="J6" s="96"/>
      <c r="K6" s="96"/>
      <c r="L6" s="96"/>
      <c r="M6" s="96"/>
      <c r="O6" s="39"/>
    </row>
    <row r="7" spans="1:15" x14ac:dyDescent="0.25">
      <c r="A7" s="115" t="s">
        <v>6</v>
      </c>
      <c r="B7" s="116"/>
      <c r="C7" s="116"/>
      <c r="D7" s="116"/>
      <c r="E7" s="116"/>
      <c r="F7" s="116"/>
      <c r="G7" s="116"/>
      <c r="H7" s="117"/>
      <c r="I7" s="121" t="s">
        <v>7</v>
      </c>
      <c r="J7" s="122"/>
      <c r="K7" s="122"/>
      <c r="L7" s="122"/>
      <c r="M7" s="123"/>
    </row>
    <row r="8" spans="1:15" x14ac:dyDescent="0.25">
      <c r="A8" s="118"/>
      <c r="B8" s="119"/>
      <c r="C8" s="119"/>
      <c r="D8" s="119"/>
      <c r="E8" s="119"/>
      <c r="F8" s="119"/>
      <c r="G8" s="119"/>
      <c r="H8" s="120"/>
      <c r="I8" s="124" t="s">
        <v>8</v>
      </c>
      <c r="J8" s="125"/>
      <c r="K8" s="125"/>
      <c r="L8" s="125"/>
      <c r="M8" s="126"/>
    </row>
    <row r="9" spans="1:15" ht="21" x14ac:dyDescent="0.25">
      <c r="A9" s="31" t="s">
        <v>9</v>
      </c>
      <c r="B9" s="32" t="s">
        <v>10</v>
      </c>
      <c r="C9" s="127" t="s">
        <v>11</v>
      </c>
      <c r="D9" s="127"/>
      <c r="E9" s="32" t="s">
        <v>12</v>
      </c>
      <c r="F9" s="32" t="s">
        <v>13</v>
      </c>
      <c r="G9" s="32" t="s">
        <v>14</v>
      </c>
      <c r="H9" s="33" t="s">
        <v>15</v>
      </c>
      <c r="I9" s="8" t="s">
        <v>16</v>
      </c>
      <c r="J9" s="9" t="s">
        <v>17</v>
      </c>
      <c r="K9" s="128" t="s">
        <v>18</v>
      </c>
      <c r="L9" s="129"/>
      <c r="M9" s="10" t="s">
        <v>19</v>
      </c>
    </row>
    <row r="10" spans="1:15" x14ac:dyDescent="0.25">
      <c r="A10" s="34">
        <v>1</v>
      </c>
      <c r="B10" s="35">
        <v>5</v>
      </c>
      <c r="C10" s="99" t="s">
        <v>28</v>
      </c>
      <c r="D10" s="100"/>
      <c r="E10" s="36" t="s">
        <v>25</v>
      </c>
      <c r="F10" s="40" t="s">
        <v>29</v>
      </c>
      <c r="G10" s="37">
        <v>30.5</v>
      </c>
      <c r="H10" s="38">
        <f>B10*G10</f>
        <v>152.5</v>
      </c>
      <c r="I10" s="13"/>
      <c r="J10" s="14"/>
      <c r="K10" s="61"/>
      <c r="L10" s="62"/>
      <c r="M10" s="15"/>
    </row>
    <row r="11" spans="1:15" x14ac:dyDescent="0.25">
      <c r="A11" s="34">
        <v>2</v>
      </c>
      <c r="B11" s="35">
        <v>5</v>
      </c>
      <c r="C11" s="101" t="s">
        <v>31</v>
      </c>
      <c r="D11" s="102"/>
      <c r="E11" s="36" t="s">
        <v>25</v>
      </c>
      <c r="F11" s="40" t="s">
        <v>32</v>
      </c>
      <c r="G11" s="37">
        <v>22.5</v>
      </c>
      <c r="H11" s="38">
        <f t="shared" ref="H11" si="0">B11*G11</f>
        <v>112.5</v>
      </c>
      <c r="I11" s="13"/>
      <c r="J11" s="14"/>
      <c r="K11" s="61"/>
      <c r="L11" s="62"/>
      <c r="M11" s="15"/>
    </row>
    <row r="12" spans="1:15" ht="29.45" customHeight="1" x14ac:dyDescent="0.25">
      <c r="A12" s="34">
        <v>3</v>
      </c>
      <c r="B12" s="35">
        <v>5</v>
      </c>
      <c r="C12" s="75" t="s">
        <v>33</v>
      </c>
      <c r="D12" s="76"/>
      <c r="E12" s="36" t="s">
        <v>34</v>
      </c>
      <c r="F12" s="41" t="s">
        <v>35</v>
      </c>
      <c r="G12" s="37">
        <v>37.5</v>
      </c>
      <c r="H12" s="38">
        <f>B12*G12</f>
        <v>187.5</v>
      </c>
      <c r="I12" s="77"/>
      <c r="J12" s="80"/>
      <c r="K12" s="83"/>
      <c r="L12" s="84"/>
      <c r="M12" s="54"/>
    </row>
    <row r="13" spans="1:15" ht="14.45" customHeight="1" x14ac:dyDescent="0.25">
      <c r="A13" s="34">
        <v>4</v>
      </c>
      <c r="B13" s="35">
        <v>5</v>
      </c>
      <c r="C13" s="75" t="s">
        <v>36</v>
      </c>
      <c r="D13" s="76"/>
      <c r="E13" s="36" t="s">
        <v>25</v>
      </c>
      <c r="F13" s="41" t="s">
        <v>37</v>
      </c>
      <c r="G13" s="37">
        <v>32.950000000000003</v>
      </c>
      <c r="H13" s="38">
        <f>B13*G13</f>
        <v>164.75</v>
      </c>
      <c r="I13" s="78"/>
      <c r="J13" s="81"/>
      <c r="K13" s="85"/>
      <c r="L13" s="86"/>
      <c r="M13" s="55"/>
    </row>
    <row r="14" spans="1:15" ht="15.75" thickBot="1" x14ac:dyDescent="0.3">
      <c r="A14" s="34">
        <v>5</v>
      </c>
      <c r="B14" s="11">
        <v>10</v>
      </c>
      <c r="C14" s="57" t="s">
        <v>38</v>
      </c>
      <c r="D14" s="58"/>
      <c r="E14" s="16" t="s">
        <v>40</v>
      </c>
      <c r="F14" s="41" t="s">
        <v>39</v>
      </c>
      <c r="G14" s="17">
        <v>35.950000000000003</v>
      </c>
      <c r="H14" s="18">
        <f>B14*G14</f>
        <v>359.5</v>
      </c>
      <c r="I14" s="79"/>
      <c r="J14" s="82"/>
      <c r="K14" s="87"/>
      <c r="L14" s="88"/>
      <c r="M14" s="56"/>
    </row>
    <row r="15" spans="1:15" x14ac:dyDescent="0.25">
      <c r="A15" s="59"/>
      <c r="B15" s="60"/>
      <c r="C15" s="60"/>
      <c r="D15" s="60"/>
      <c r="E15" s="60"/>
      <c r="F15" s="60"/>
      <c r="G15" s="19" t="s">
        <v>20</v>
      </c>
      <c r="H15" s="20">
        <f>SUM(H10:H14)</f>
        <v>976.75</v>
      </c>
      <c r="I15" s="21"/>
      <c r="J15" s="22" t="s">
        <v>20</v>
      </c>
      <c r="K15" s="61"/>
      <c r="L15" s="62"/>
      <c r="M15" s="54"/>
    </row>
    <row r="16" spans="1:15" ht="21" x14ac:dyDescent="0.25">
      <c r="A16" s="63" t="s">
        <v>26</v>
      </c>
      <c r="B16" s="64"/>
      <c r="C16" s="64"/>
      <c r="D16" s="64"/>
      <c r="E16" s="64"/>
      <c r="F16" s="64"/>
      <c r="G16" s="23" t="s">
        <v>21</v>
      </c>
      <c r="H16" s="24">
        <f>(H15/100)*12</f>
        <v>117.21000000000001</v>
      </c>
      <c r="I16" s="25"/>
      <c r="J16" s="26" t="s">
        <v>21</v>
      </c>
      <c r="K16" s="67"/>
      <c r="L16" s="68"/>
      <c r="M16" s="55"/>
    </row>
    <row r="17" spans="1:13" ht="15.75" thickBot="1" x14ac:dyDescent="0.3">
      <c r="A17" s="65"/>
      <c r="B17" s="66"/>
      <c r="C17" s="66"/>
      <c r="D17" s="66"/>
      <c r="E17" s="66"/>
      <c r="F17" s="66"/>
      <c r="G17" s="27" t="s">
        <v>22</v>
      </c>
      <c r="H17" s="28">
        <f>(H15/100)*88</f>
        <v>859.54</v>
      </c>
      <c r="I17" s="29"/>
      <c r="J17" s="30" t="s">
        <v>22</v>
      </c>
      <c r="K17" s="69"/>
      <c r="L17" s="70"/>
      <c r="M17" s="55"/>
    </row>
    <row r="18" spans="1:13" x14ac:dyDescent="0.25">
      <c r="A18" s="65"/>
      <c r="B18" s="66"/>
      <c r="C18" s="66"/>
      <c r="D18" s="66"/>
      <c r="E18" s="66"/>
      <c r="F18" s="66"/>
      <c r="G18" s="71" t="s">
        <v>42</v>
      </c>
      <c r="H18" s="72"/>
      <c r="I18" s="42"/>
      <c r="J18" s="43"/>
      <c r="K18" s="43"/>
      <c r="L18" s="43"/>
      <c r="M18" s="44"/>
    </row>
    <row r="19" spans="1:13" ht="51.75" customHeight="1" thickBot="1" x14ac:dyDescent="0.3">
      <c r="A19" s="65"/>
      <c r="B19" s="66"/>
      <c r="C19" s="66"/>
      <c r="D19" s="66"/>
      <c r="E19" s="66"/>
      <c r="F19" s="66"/>
      <c r="G19" s="73"/>
      <c r="H19" s="74"/>
      <c r="I19" s="45" t="s">
        <v>23</v>
      </c>
      <c r="J19" s="46"/>
      <c r="K19" s="46"/>
      <c r="L19" s="46"/>
      <c r="M19" s="47"/>
    </row>
    <row r="20" spans="1:13" ht="44.25" customHeight="1" thickBot="1" x14ac:dyDescent="0.3">
      <c r="A20" s="51" t="s">
        <v>41</v>
      </c>
      <c r="B20" s="52"/>
      <c r="C20" s="52"/>
      <c r="D20" s="52"/>
      <c r="E20" s="52"/>
      <c r="F20" s="52"/>
      <c r="G20" s="52"/>
      <c r="H20" s="53"/>
      <c r="I20" s="48"/>
      <c r="J20" s="49"/>
      <c r="K20" s="49"/>
      <c r="L20" s="49"/>
      <c r="M20" s="50"/>
    </row>
    <row r="21" spans="1:13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</sheetData>
  <mergeCells count="40">
    <mergeCell ref="C10:D10"/>
    <mergeCell ref="C11:D11"/>
    <mergeCell ref="A1:M1"/>
    <mergeCell ref="A2:C2"/>
    <mergeCell ref="G2:I2"/>
    <mergeCell ref="L2:M2"/>
    <mergeCell ref="A3:C3"/>
    <mergeCell ref="F3:I3"/>
    <mergeCell ref="J3:M3"/>
    <mergeCell ref="A7:H8"/>
    <mergeCell ref="I7:M7"/>
    <mergeCell ref="I8:M8"/>
    <mergeCell ref="C9:D9"/>
    <mergeCell ref="K9:L9"/>
    <mergeCell ref="A4:C4"/>
    <mergeCell ref="J4:M4"/>
    <mergeCell ref="A5:C5"/>
    <mergeCell ref="G5:M5"/>
    <mergeCell ref="A6:C6"/>
    <mergeCell ref="G6:M6"/>
    <mergeCell ref="F4:H4"/>
    <mergeCell ref="K11:L11"/>
    <mergeCell ref="I12:I14"/>
    <mergeCell ref="J12:J14"/>
    <mergeCell ref="K12:L14"/>
    <mergeCell ref="K10:L10"/>
    <mergeCell ref="I18:M18"/>
    <mergeCell ref="I19:M20"/>
    <mergeCell ref="A20:H20"/>
    <mergeCell ref="M12:M14"/>
    <mergeCell ref="C14:D14"/>
    <mergeCell ref="A15:F15"/>
    <mergeCell ref="K15:L15"/>
    <mergeCell ref="M15:M17"/>
    <mergeCell ref="A16:F19"/>
    <mergeCell ref="K16:L16"/>
    <mergeCell ref="K17:L17"/>
    <mergeCell ref="G18:H19"/>
    <mergeCell ref="C12:D12"/>
    <mergeCell ref="C13:D13"/>
  </mergeCells>
  <pageMargins left="0.7" right="0.7" top="0.78740157499999996" bottom="0.78740157499999996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Galle</dc:creator>
  <cp:lastModifiedBy>Jens Pühn</cp:lastModifiedBy>
  <cp:lastPrinted>2024-08-26T09:27:54Z</cp:lastPrinted>
  <dcterms:created xsi:type="dcterms:W3CDTF">2023-07-04T08:39:33Z</dcterms:created>
  <dcterms:modified xsi:type="dcterms:W3CDTF">2025-08-12T10:58:40Z</dcterms:modified>
</cp:coreProperties>
</file>