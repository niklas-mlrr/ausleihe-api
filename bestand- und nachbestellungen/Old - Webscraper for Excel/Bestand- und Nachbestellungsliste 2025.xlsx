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Buchausleihe Admins\2025\"/>
    </mc:Choice>
  </mc:AlternateContent>
  <xr:revisionPtr revIDLastSave="0" documentId="13_ncr:1_{B16CC5CB-8831-4D7F-ACB0-018C8FA293C1}" xr6:coauthVersionLast="36" xr6:coauthVersionMax="36" xr10:uidLastSave="{00000000-0000-0000-0000-000000000000}"/>
  <bookViews>
    <workbookView xWindow="-108" yWindow="-108" windowWidth="23256" windowHeight="12576" xr2:uid="{00000000-000D-0000-FFFF-FFFF00000000}"/>
  </bookViews>
  <sheets>
    <sheet name="Bestand- und Nachbestellung" sheetId="1" r:id="rId1"/>
  </sheets>
  <calcPr calcId="191029"/>
</workbook>
</file>

<file path=xl/calcChain.xml><?xml version="1.0" encoding="utf-8"?>
<calcChain xmlns="http://schemas.openxmlformats.org/spreadsheetml/2006/main">
  <c r="AP15" i="1" l="1"/>
  <c r="AL15" i="1"/>
  <c r="AH15" i="1"/>
  <c r="AD15" i="1"/>
  <c r="Z15" i="1"/>
  <c r="V15" i="1"/>
  <c r="R15" i="1"/>
  <c r="N15" i="1"/>
  <c r="J15" i="1"/>
  <c r="F15" i="1"/>
  <c r="AJ10" i="1"/>
  <c r="AF10" i="1"/>
  <c r="Y10" i="1"/>
  <c r="U10" i="1"/>
  <c r="Q10" i="1"/>
  <c r="N10" i="1"/>
  <c r="K10" i="1"/>
  <c r="H10" i="1"/>
  <c r="E10" i="1"/>
  <c r="BD9" i="1"/>
  <c r="AF9" i="1"/>
  <c r="Q9" i="1"/>
  <c r="K9" i="1"/>
  <c r="H9" i="1"/>
  <c r="E9" i="1"/>
  <c r="BD8" i="1"/>
  <c r="AR8" i="1"/>
  <c r="AN8" i="1"/>
  <c r="AG8" i="1"/>
  <c r="AJ8" i="1" s="1"/>
  <c r="AF8" i="1"/>
  <c r="AC8" i="1"/>
  <c r="Z8" i="1"/>
  <c r="V8" i="1"/>
  <c r="Y8" i="1" s="1"/>
  <c r="U8" i="1"/>
  <c r="R8" i="1"/>
  <c r="Q8" i="1"/>
  <c r="N8" i="1"/>
  <c r="K8" i="1"/>
  <c r="H8" i="1"/>
  <c r="E8" i="1"/>
  <c r="BD7" i="1"/>
  <c r="AF7" i="1"/>
  <c r="Q7" i="1"/>
  <c r="H7" i="1"/>
  <c r="E7" i="1"/>
  <c r="BD6" i="1"/>
  <c r="AV6" i="1"/>
  <c r="AR6" i="1"/>
  <c r="AN6" i="1"/>
  <c r="AJ6" i="1"/>
  <c r="AG6" i="1"/>
  <c r="AF6" i="1"/>
  <c r="V6" i="1"/>
  <c r="Y6" i="1" s="1"/>
  <c r="R6" i="1"/>
  <c r="U6" i="1" s="1"/>
  <c r="N6" i="1"/>
  <c r="K6" i="1"/>
  <c r="H6" i="1"/>
  <c r="E6" i="1"/>
  <c r="BD5" i="1"/>
  <c r="AZ5" i="1"/>
  <c r="AV5" i="1"/>
  <c r="AF5" i="1"/>
  <c r="N5" i="1"/>
  <c r="H5" i="1"/>
  <c r="E5" i="1"/>
  <c r="AR4" i="1"/>
  <c r="AN4" i="1"/>
  <c r="AJ4" i="1"/>
  <c r="AG4" i="1"/>
  <c r="AF4" i="1"/>
  <c r="V4" i="1"/>
  <c r="Y4" i="1" s="1"/>
  <c r="R4" i="1"/>
  <c r="U4" i="1" s="1"/>
  <c r="N4" i="1"/>
  <c r="K4" i="1"/>
  <c r="H4" i="1"/>
  <c r="E4" i="1"/>
</calcChain>
</file>

<file path=xl/sharedStrings.xml><?xml version="1.0" encoding="utf-8"?>
<sst xmlns="http://schemas.openxmlformats.org/spreadsheetml/2006/main" count="245" uniqueCount="106">
  <si>
    <t>Paket Bücher</t>
  </si>
  <si>
    <t>Individuelle Bücher</t>
  </si>
  <si>
    <t>Deutsch</t>
  </si>
  <si>
    <t>Englisch</t>
  </si>
  <si>
    <t>Erdkunde</t>
  </si>
  <si>
    <t>Geschichte</t>
  </si>
  <si>
    <t>Politik</t>
  </si>
  <si>
    <t>Biologie</t>
  </si>
  <si>
    <t>Chemie</t>
  </si>
  <si>
    <t>Informatik</t>
  </si>
  <si>
    <t>Mathematik</t>
  </si>
  <si>
    <t>Physik</t>
  </si>
  <si>
    <t>Religion</t>
  </si>
  <si>
    <t>Werte und Normen</t>
  </si>
  <si>
    <t>Französisch</t>
  </si>
  <si>
    <t>Latein</t>
  </si>
  <si>
    <t>Spanisch</t>
  </si>
  <si>
    <t>Angemeldet</t>
  </si>
  <si>
    <t>Bestand</t>
  </si>
  <si>
    <t>Bestellt</t>
  </si>
  <si>
    <t>zu bestellen</t>
  </si>
  <si>
    <t>angemeldet</t>
  </si>
  <si>
    <t>Jahrgang 5</t>
  </si>
  <si>
    <t>73</t>
  </si>
  <si>
    <t>92</t>
  </si>
  <si>
    <t>160</t>
  </si>
  <si>
    <t>76</t>
  </si>
  <si>
    <t>166</t>
  </si>
  <si>
    <t>149</t>
  </si>
  <si>
    <t>154</t>
  </si>
  <si>
    <t>96</t>
  </si>
  <si>
    <t>91</t>
  </si>
  <si>
    <t>56</t>
  </si>
  <si>
    <t>71</t>
  </si>
  <si>
    <t>Inventarisiert</t>
  </si>
  <si>
    <t>Jahrgang 6</t>
  </si>
  <si>
    <t>79</t>
  </si>
  <si>
    <t>77</t>
  </si>
  <si>
    <t>82</t>
  </si>
  <si>
    <t>78</t>
  </si>
  <si>
    <t>24</t>
  </si>
  <si>
    <t>26</t>
  </si>
  <si>
    <t>65</t>
  </si>
  <si>
    <t>85</t>
  </si>
  <si>
    <t>40</t>
  </si>
  <si>
    <t>42</t>
  </si>
  <si>
    <t>Jahrgang 7</t>
  </si>
  <si>
    <t>72</t>
  </si>
  <si>
    <t>102</t>
  </si>
  <si>
    <t>146</t>
  </si>
  <si>
    <t>145</t>
  </si>
  <si>
    <t>152</t>
  </si>
  <si>
    <t>159</t>
  </si>
  <si>
    <t>74</t>
  </si>
  <si>
    <t>174</t>
  </si>
  <si>
    <t>94</t>
  </si>
  <si>
    <t>129</t>
  </si>
  <si>
    <t>58</t>
  </si>
  <si>
    <t>22</t>
  </si>
  <si>
    <t>27</t>
  </si>
  <si>
    <t>35</t>
  </si>
  <si>
    <t>Jahrgang 8</t>
  </si>
  <si>
    <t>64</t>
  </si>
  <si>
    <t>66</t>
  </si>
  <si>
    <t>68</t>
  </si>
  <si>
    <t>23</t>
  </si>
  <si>
    <t>37</t>
  </si>
  <si>
    <t>Jahrgang 9</t>
  </si>
  <si>
    <t>90</t>
  </si>
  <si>
    <t>115</t>
  </si>
  <si>
    <t>156</t>
  </si>
  <si>
    <t>125</t>
  </si>
  <si>
    <t>52</t>
  </si>
  <si>
    <t>30</t>
  </si>
  <si>
    <t>48</t>
  </si>
  <si>
    <t>bis auf SN inventarisiert</t>
  </si>
  <si>
    <t>Jahrgang 10</t>
  </si>
  <si>
    <t>57</t>
  </si>
  <si>
    <t>84</t>
  </si>
  <si>
    <t>80</t>
  </si>
  <si>
    <t>70</t>
  </si>
  <si>
    <t>51</t>
  </si>
  <si>
    <t>Jahrgang 11</t>
  </si>
  <si>
    <t>53</t>
  </si>
  <si>
    <t>55</t>
  </si>
  <si>
    <t>61</t>
  </si>
  <si>
    <t>46</t>
  </si>
  <si>
    <t>54</t>
  </si>
  <si>
    <t>Politik (eA)</t>
  </si>
  <si>
    <t>Politik (gA)</t>
  </si>
  <si>
    <t>Mathematik (eA)</t>
  </si>
  <si>
    <t>Mathematik (gA)</t>
  </si>
  <si>
    <t>Sport (Bewegung)</t>
  </si>
  <si>
    <t>Sport (Training)</t>
  </si>
  <si>
    <t>Jahrgang 12</t>
  </si>
  <si>
    <t>41</t>
  </si>
  <si>
    <t>43</t>
  </si>
  <si>
    <t>19</t>
  </si>
  <si>
    <t>20</t>
  </si>
  <si>
    <t>18</t>
  </si>
  <si>
    <t>29</t>
  </si>
  <si>
    <t>15</t>
  </si>
  <si>
    <t>17</t>
  </si>
  <si>
    <t>25</t>
  </si>
  <si>
    <t>4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</si>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</sst>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2">
    <border>
      <left/>
      <right/>
      <top/>
      <bottom/>
      <diagonal/>
    </border>
    <border>
      <left style="thick">
        <color auto="1"/>
      </left>
      <right style="dashed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/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/>
      <diagonal/>
    </border>
    <border>
      <left/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dashed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/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textRotation="90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textRotation="90"/>
    </xf>
    <xf numFmtId="0" fontId="0" fillId="0" borderId="3" xfId="0" applyBorder="1" applyAlignment="1">
      <alignment textRotation="90"/>
    </xf>
    <xf numFmtId="0" fontId="0" fillId="0" borderId="5" xfId="0" applyBorder="1"/>
    <xf numFmtId="0" fontId="0" fillId="0" borderId="5" xfId="0" applyBorder="1" applyAlignment="1">
      <alignment textRotation="90"/>
    </xf>
    <xf numFmtId="0" fontId="0" fillId="0" borderId="6" xfId="0" applyBorder="1" applyAlignment="1">
      <alignment textRotation="90"/>
    </xf>
    <xf numFmtId="0" fontId="0" fillId="0" borderId="7" xfId="0" applyBorder="1" applyAlignment="1">
      <alignment textRotation="90"/>
    </xf>
    <xf numFmtId="0" fontId="0" fillId="0" borderId="10" xfId="0" applyBorder="1"/>
    <xf numFmtId="0" fontId="0" fillId="0" borderId="32" xfId="0" applyBorder="1" applyAlignment="1">
      <alignment textRotation="90"/>
    </xf>
    <xf numFmtId="0" fontId="0" fillId="0" borderId="32" xfId="0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0" fontId="0" fillId="0" borderId="43" xfId="0" applyBorder="1"/>
    <xf numFmtId="0" fontId="0" fillId="0" borderId="4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43" xfId="0" applyBorder="1" applyAlignment="1">
      <alignment horizontal="center"/>
    </xf>
    <xf numFmtId="0" fontId="0" fillId="0" borderId="45" xfId="0" applyBorder="1"/>
    <xf numFmtId="0" fontId="0" fillId="0" borderId="45" xfId="0" applyBorder="1" applyAlignment="1">
      <alignment textRotation="90"/>
    </xf>
    <xf numFmtId="0" fontId="0" fillId="0" borderId="5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60" xfId="0" applyBorder="1"/>
    <xf numFmtId="0" fontId="0" fillId="0" borderId="61" xfId="0" applyBorder="1" applyAlignment="1">
      <alignment horizontal="right" vertical="center"/>
    </xf>
    <xf numFmtId="2" fontId="0" fillId="0" borderId="0" xfId="0" applyNumberFormat="1"/>
    <xf numFmtId="0" fontId="0" fillId="0" borderId="6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0" xfId="0"/>
    <xf numFmtId="0" fontId="0" fillId="0" borderId="57" xfId="0" applyBorder="1" applyAlignment="1">
      <alignment horizontal="center"/>
    </xf>
    <xf numFmtId="0" fontId="0" fillId="0" borderId="39" xfId="0" applyBorder="1"/>
    <xf numFmtId="0" fontId="0" fillId="0" borderId="51" xfId="0" applyBorder="1" applyAlignment="1">
      <alignment horizontal="center"/>
    </xf>
    <xf numFmtId="0" fontId="0" fillId="0" borderId="50" xfId="0" applyBorder="1"/>
    <xf numFmtId="0" fontId="0" fillId="0" borderId="51" xfId="0" applyBorder="1"/>
    <xf numFmtId="0" fontId="0" fillId="0" borderId="3" xfId="0" applyBorder="1" applyAlignment="1">
      <alignment horizontal="right" vertical="center"/>
    </xf>
    <xf numFmtId="0" fontId="0" fillId="0" borderId="15" xfId="0" applyBorder="1"/>
    <xf numFmtId="0" fontId="0" fillId="0" borderId="6" xfId="0" applyBorder="1" applyAlignment="1">
      <alignment horizontal="center"/>
    </xf>
    <xf numFmtId="0" fontId="0" fillId="0" borderId="25" xfId="0" applyBorder="1"/>
    <xf numFmtId="0" fontId="0" fillId="0" borderId="53" xfId="0" applyBorder="1"/>
    <xf numFmtId="0" fontId="0" fillId="0" borderId="46" xfId="0" applyBorder="1" applyAlignment="1">
      <alignment horizontal="right" vertical="center"/>
    </xf>
    <xf numFmtId="0" fontId="0" fillId="0" borderId="38" xfId="0" applyBorder="1"/>
    <xf numFmtId="0" fontId="0" fillId="0" borderId="6" xfId="0" applyBorder="1" applyAlignment="1">
      <alignment horizontal="right" vertical="center"/>
    </xf>
    <xf numFmtId="0" fontId="0" fillId="0" borderId="13" xfId="0" applyBorder="1"/>
    <xf numFmtId="0" fontId="0" fillId="0" borderId="52" xfId="0" applyBorder="1" applyAlignment="1">
      <alignment horizontal="center"/>
    </xf>
    <xf numFmtId="0" fontId="0" fillId="0" borderId="26" xfId="0" applyBorder="1"/>
    <xf numFmtId="0" fontId="0" fillId="0" borderId="13" xfId="0" applyBorder="1" applyAlignment="1">
      <alignment horizontal="center"/>
    </xf>
    <xf numFmtId="0" fontId="0" fillId="0" borderId="23" xfId="0" applyBorder="1"/>
    <xf numFmtId="0" fontId="0" fillId="0" borderId="29" xfId="0" applyBorder="1"/>
    <xf numFmtId="0" fontId="0" fillId="0" borderId="7" xfId="0" applyBorder="1" applyAlignment="1">
      <alignment horizontal="right" vertical="center"/>
    </xf>
    <xf numFmtId="0" fontId="0" fillId="0" borderId="37" xfId="0" applyBorder="1"/>
    <xf numFmtId="0" fontId="0" fillId="0" borderId="17" xfId="0" applyBorder="1"/>
    <xf numFmtId="0" fontId="0" fillId="0" borderId="14" xfId="0" applyBorder="1" applyAlignment="1">
      <alignment horizontal="right" vertical="center"/>
    </xf>
    <xf numFmtId="0" fontId="0" fillId="0" borderId="36" xfId="0" applyBorder="1"/>
    <xf numFmtId="0" fontId="0" fillId="0" borderId="52" xfId="0" applyBorder="1" applyAlignment="1">
      <alignment horizontal="right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/>
    <xf numFmtId="0" fontId="0" fillId="0" borderId="21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53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47" xfId="0" applyBorder="1"/>
    <xf numFmtId="0" fontId="0" fillId="0" borderId="28" xfId="0" applyBorder="1" applyAlignment="1">
      <alignment horizontal="right" vertical="center"/>
    </xf>
    <xf numFmtId="0" fontId="0" fillId="0" borderId="48" xfId="0" applyBorder="1"/>
    <xf numFmtId="0" fontId="0" fillId="0" borderId="16" xfId="0" applyBorder="1" applyAlignment="1">
      <alignment horizontal="right" vertical="center"/>
    </xf>
    <xf numFmtId="0" fontId="0" fillId="0" borderId="56" xfId="0" applyBorder="1" applyAlignment="1">
      <alignment horizontal="right" vertical="center"/>
    </xf>
    <xf numFmtId="0" fontId="0" fillId="0" borderId="31" xfId="0" applyBorder="1"/>
    <xf numFmtId="0" fontId="0" fillId="0" borderId="49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4" xfId="0" applyBorder="1"/>
    <xf numFmtId="0" fontId="0" fillId="0" borderId="55" xfId="0" applyBorder="1" applyAlignment="1">
      <alignment horizontal="right" vertical="center"/>
    </xf>
    <xf numFmtId="0" fontId="0" fillId="0" borderId="34" xfId="0" applyBorder="1"/>
    <xf numFmtId="0" fontId="0" fillId="0" borderId="22" xfId="0" applyBorder="1"/>
    <xf numFmtId="0" fontId="0" fillId="0" borderId="24" xfId="0" applyBorder="1"/>
    <xf numFmtId="0" fontId="0" fillId="0" borderId="12" xfId="0" applyBorder="1" applyAlignment="1">
      <alignment horizontal="right" vertical="center"/>
    </xf>
    <xf numFmtId="0" fontId="0" fillId="0" borderId="35" xfId="0" applyBorder="1"/>
    <xf numFmtId="0" fontId="0" fillId="0" borderId="59" xfId="0" applyBorder="1" applyAlignment="1">
      <alignment horizontal="center" textRotation="90"/>
    </xf>
  </cellXfs>
  <cellStyles count="1">
    <cellStyle name="Standard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BE22"/>
  <sheetViews>
    <sheetView tabSelected="1" zoomScale="80" workbookViewId="0">
      <pane xSplit="2" topLeftCell="C1" activePane="topRight" state="frozen"/>
      <selection pane="topRight" activeCell="AG27" sqref="AG27"/>
    </sheetView>
  </sheetViews>
  <sheetFormatPr baseColWidth="10" defaultRowHeight="14.4" x14ac:dyDescent="0.3"/>
  <cols>
    <col min="2" max="56" width="4" style="36" customWidth="1"/>
  </cols>
  <sheetData>
    <row r="1" spans="1:57" ht="15" customHeight="1" thickTop="1" x14ac:dyDescent="0.3">
      <c r="A1" s="2"/>
      <c r="B1" s="10"/>
      <c r="C1" s="80" t="s">
        <v>0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81"/>
      <c r="AK1" s="80" t="s">
        <v>1</v>
      </c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1"/>
    </row>
    <row r="2" spans="1:57" x14ac:dyDescent="0.3">
      <c r="A2" s="3"/>
      <c r="B2" s="6"/>
      <c r="C2" s="44" t="s">
        <v>2</v>
      </c>
      <c r="D2" s="45"/>
      <c r="E2" s="46"/>
      <c r="F2" s="44" t="s">
        <v>3</v>
      </c>
      <c r="G2" s="45"/>
      <c r="H2" s="46"/>
      <c r="I2" s="44" t="s">
        <v>4</v>
      </c>
      <c r="J2" s="45"/>
      <c r="K2" s="46"/>
      <c r="L2" s="44" t="s">
        <v>5</v>
      </c>
      <c r="M2" s="45"/>
      <c r="N2" s="46"/>
      <c r="O2" s="44" t="s">
        <v>6</v>
      </c>
      <c r="P2" s="45"/>
      <c r="Q2" s="46"/>
      <c r="R2" s="51" t="s">
        <v>7</v>
      </c>
      <c r="S2" s="45"/>
      <c r="T2" s="45"/>
      <c r="U2" s="52"/>
      <c r="V2" s="51" t="s">
        <v>8</v>
      </c>
      <c r="W2" s="45"/>
      <c r="X2" s="45"/>
      <c r="Y2" s="52"/>
      <c r="Z2" s="51" t="s">
        <v>9</v>
      </c>
      <c r="AA2" s="45"/>
      <c r="AB2" s="45"/>
      <c r="AC2" s="52"/>
      <c r="AD2" s="44" t="s">
        <v>10</v>
      </c>
      <c r="AE2" s="45"/>
      <c r="AF2" s="46"/>
      <c r="AG2" s="51" t="s">
        <v>11</v>
      </c>
      <c r="AH2" s="45"/>
      <c r="AI2" s="45"/>
      <c r="AJ2" s="52"/>
      <c r="AK2" s="44" t="s">
        <v>12</v>
      </c>
      <c r="AL2" s="45"/>
      <c r="AM2" s="45"/>
      <c r="AN2" s="46"/>
      <c r="AO2" s="44" t="s">
        <v>13</v>
      </c>
      <c r="AP2" s="45"/>
      <c r="AQ2" s="45"/>
      <c r="AR2" s="46"/>
      <c r="AS2" s="44" t="s">
        <v>14</v>
      </c>
      <c r="AT2" s="45"/>
      <c r="AU2" s="45"/>
      <c r="AV2" s="46"/>
      <c r="AW2" s="44" t="s">
        <v>15</v>
      </c>
      <c r="AX2" s="45"/>
      <c r="AY2" s="45"/>
      <c r="AZ2" s="46"/>
      <c r="BA2" s="44" t="s">
        <v>16</v>
      </c>
      <c r="BB2" s="45"/>
      <c r="BC2" s="45"/>
      <c r="BD2" s="83"/>
    </row>
    <row r="3" spans="1:57" s="1" customFormat="1" ht="64.8" customHeight="1" x14ac:dyDescent="0.3">
      <c r="A3" s="4"/>
      <c r="B3" s="7" t="s">
        <v>17</v>
      </c>
      <c r="C3" s="8" t="s">
        <v>18</v>
      </c>
      <c r="D3" s="5" t="s">
        <v>19</v>
      </c>
      <c r="E3" s="9" t="s">
        <v>20</v>
      </c>
      <c r="F3" s="8" t="s">
        <v>18</v>
      </c>
      <c r="G3" s="5" t="s">
        <v>19</v>
      </c>
      <c r="H3" s="9" t="s">
        <v>20</v>
      </c>
      <c r="I3" s="8" t="s">
        <v>18</v>
      </c>
      <c r="J3" s="5" t="s">
        <v>19</v>
      </c>
      <c r="K3" s="9" t="s">
        <v>20</v>
      </c>
      <c r="L3" s="8" t="s">
        <v>18</v>
      </c>
      <c r="M3" s="5" t="s">
        <v>19</v>
      </c>
      <c r="N3" s="9" t="s">
        <v>20</v>
      </c>
      <c r="O3" s="8" t="s">
        <v>18</v>
      </c>
      <c r="P3" s="5" t="s">
        <v>19</v>
      </c>
      <c r="Q3" s="9" t="s">
        <v>20</v>
      </c>
      <c r="R3" s="8" t="s">
        <v>17</v>
      </c>
      <c r="S3" s="5" t="s">
        <v>18</v>
      </c>
      <c r="T3" s="5" t="s">
        <v>19</v>
      </c>
      <c r="U3" s="9" t="s">
        <v>20</v>
      </c>
      <c r="V3" s="8" t="s">
        <v>17</v>
      </c>
      <c r="W3" s="5" t="s">
        <v>18</v>
      </c>
      <c r="X3" s="5" t="s">
        <v>19</v>
      </c>
      <c r="Y3" s="9" t="s">
        <v>20</v>
      </c>
      <c r="Z3" s="8" t="s">
        <v>17</v>
      </c>
      <c r="AA3" s="5" t="s">
        <v>18</v>
      </c>
      <c r="AB3" s="5" t="s">
        <v>19</v>
      </c>
      <c r="AC3" s="9" t="s">
        <v>20</v>
      </c>
      <c r="AD3" s="8" t="s">
        <v>18</v>
      </c>
      <c r="AE3" s="5" t="s">
        <v>19</v>
      </c>
      <c r="AF3" s="9" t="s">
        <v>20</v>
      </c>
      <c r="AG3" s="8" t="s">
        <v>17</v>
      </c>
      <c r="AH3" s="5" t="s">
        <v>18</v>
      </c>
      <c r="AI3" s="5" t="s">
        <v>19</v>
      </c>
      <c r="AJ3" s="9" t="s">
        <v>20</v>
      </c>
      <c r="AK3" s="8" t="s">
        <v>21</v>
      </c>
      <c r="AL3" s="5" t="s">
        <v>18</v>
      </c>
      <c r="AM3" s="5" t="s">
        <v>19</v>
      </c>
      <c r="AN3" s="9" t="s">
        <v>20</v>
      </c>
      <c r="AO3" s="8" t="s">
        <v>21</v>
      </c>
      <c r="AP3" s="5" t="s">
        <v>18</v>
      </c>
      <c r="AQ3" s="5" t="s">
        <v>19</v>
      </c>
      <c r="AR3" s="9" t="s">
        <v>20</v>
      </c>
      <c r="AS3" s="8" t="s">
        <v>21</v>
      </c>
      <c r="AT3" s="5" t="s">
        <v>18</v>
      </c>
      <c r="AU3" s="5" t="s">
        <v>19</v>
      </c>
      <c r="AV3" s="9" t="s">
        <v>20</v>
      </c>
      <c r="AW3" s="8" t="s">
        <v>21</v>
      </c>
      <c r="AX3" s="5" t="s">
        <v>18</v>
      </c>
      <c r="AY3" s="5" t="s">
        <v>19</v>
      </c>
      <c r="AZ3" s="9" t="s">
        <v>20</v>
      </c>
      <c r="BA3" s="8" t="s">
        <v>21</v>
      </c>
      <c r="BB3" s="5" t="s">
        <v>18</v>
      </c>
      <c r="BC3" s="5" t="s">
        <v>19</v>
      </c>
      <c r="BD3" s="11" t="s">
        <v>20</v>
      </c>
    </row>
    <row r="4" spans="1:57" ht="14.4" customHeight="1" x14ac:dyDescent="0.3">
      <c r="A4" s="3" t="s">
        <v>22</v>
      </c>
      <c r="B4" s="21" t="s">
        <v>23</v>
      </c>
      <c r="C4" s="30" t="s">
        <v>24</v>
      </c>
      <c r="D4" s="31"/>
      <c r="E4" s="32">
        <f t="shared" ref="E4:E10" si="0">$B4-C4-D4</f>
        <v>-19</v>
      </c>
      <c r="F4" s="30" t="s">
        <v>23</v>
      </c>
      <c r="G4" s="31">
        <v>25</v>
      </c>
      <c r="H4" s="32">
        <f t="shared" ref="H4:H10" si="1">$B4-F4-G4</f>
        <v>-25</v>
      </c>
      <c r="I4" s="49" t="s">
        <v>25</v>
      </c>
      <c r="J4" s="42"/>
      <c r="K4" s="56">
        <f>$B4+$B5-I4-J4</f>
        <v>-8</v>
      </c>
      <c r="L4" s="30" t="s">
        <v>26</v>
      </c>
      <c r="M4" s="31"/>
      <c r="N4" s="32">
        <f>$B4-L4-M4</f>
        <v>-3</v>
      </c>
      <c r="O4" s="61"/>
      <c r="P4" s="62"/>
      <c r="Q4" s="63"/>
      <c r="R4" s="49">
        <f>$B4+$B5</f>
        <v>152</v>
      </c>
      <c r="S4" s="42" t="s">
        <v>27</v>
      </c>
      <c r="T4" s="42"/>
      <c r="U4" s="56">
        <f>R4-S4-T4</f>
        <v>-14</v>
      </c>
      <c r="V4" s="49">
        <f>$B4+$B5</f>
        <v>152</v>
      </c>
      <c r="W4" s="42" t="s">
        <v>28</v>
      </c>
      <c r="X4" s="42">
        <v>25</v>
      </c>
      <c r="Y4" s="56">
        <f>V4-W4-X4</f>
        <v>-22</v>
      </c>
      <c r="Z4" s="61"/>
      <c r="AA4" s="62"/>
      <c r="AB4" s="62"/>
      <c r="AC4" s="63"/>
      <c r="AD4" s="30" t="s">
        <v>23</v>
      </c>
      <c r="AE4" s="31">
        <v>33</v>
      </c>
      <c r="AF4" s="32">
        <f t="shared" ref="AF4:AF10" si="2">$B4-AD4-AE4</f>
        <v>-33</v>
      </c>
      <c r="AG4" s="49">
        <f>$B4+$B5</f>
        <v>152</v>
      </c>
      <c r="AH4" s="42" t="s">
        <v>29</v>
      </c>
      <c r="AI4" s="42"/>
      <c r="AJ4" s="56">
        <f>AG4-AH4-AI4</f>
        <v>-2</v>
      </c>
      <c r="AK4" s="76" t="s">
        <v>30</v>
      </c>
      <c r="AL4" s="70" t="s">
        <v>31</v>
      </c>
      <c r="AM4" s="42"/>
      <c r="AN4" s="56">
        <f>AK4-AL4-AM4</f>
        <v>5</v>
      </c>
      <c r="AO4" s="76" t="s">
        <v>32</v>
      </c>
      <c r="AP4" s="70" t="s">
        <v>33</v>
      </c>
      <c r="AQ4" s="42"/>
      <c r="AR4" s="56">
        <f>AO4-AP4-AQ4</f>
        <v>-15</v>
      </c>
      <c r="AS4" s="61"/>
      <c r="AT4" s="45"/>
      <c r="AU4" s="45"/>
      <c r="AV4" s="52"/>
      <c r="AW4" s="61"/>
      <c r="AX4" s="45"/>
      <c r="AY4" s="45"/>
      <c r="AZ4" s="52"/>
      <c r="BA4" s="82"/>
      <c r="BB4" s="45"/>
      <c r="BC4" s="45"/>
      <c r="BD4" s="83"/>
      <c r="BE4" t="s">
        <v>34</v>
      </c>
    </row>
    <row r="5" spans="1:57" x14ac:dyDescent="0.3">
      <c r="A5" s="3" t="s">
        <v>35</v>
      </c>
      <c r="B5" s="21" t="s">
        <v>36</v>
      </c>
      <c r="C5" s="30" t="s">
        <v>31</v>
      </c>
      <c r="D5" s="31"/>
      <c r="E5" s="32">
        <f t="shared" si="0"/>
        <v>-12</v>
      </c>
      <c r="F5" s="30" t="s">
        <v>37</v>
      </c>
      <c r="G5" s="31"/>
      <c r="H5" s="32">
        <f t="shared" si="1"/>
        <v>2</v>
      </c>
      <c r="I5" s="50"/>
      <c r="J5" s="43"/>
      <c r="K5" s="58"/>
      <c r="L5" s="30" t="s">
        <v>38</v>
      </c>
      <c r="M5" s="31"/>
      <c r="N5" s="32">
        <f>$B5-L5-M5</f>
        <v>-3</v>
      </c>
      <c r="O5" s="64"/>
      <c r="P5" s="65"/>
      <c r="Q5" s="66"/>
      <c r="R5" s="50"/>
      <c r="S5" s="43"/>
      <c r="T5" s="43"/>
      <c r="U5" s="58"/>
      <c r="V5" s="50"/>
      <c r="W5" s="43"/>
      <c r="X5" s="43"/>
      <c r="Y5" s="58"/>
      <c r="Z5" s="64"/>
      <c r="AA5" s="65"/>
      <c r="AB5" s="65"/>
      <c r="AC5" s="66"/>
      <c r="AD5" s="30" t="s">
        <v>39</v>
      </c>
      <c r="AE5" s="31"/>
      <c r="AF5" s="32">
        <f t="shared" si="2"/>
        <v>1</v>
      </c>
      <c r="AG5" s="50"/>
      <c r="AH5" s="43"/>
      <c r="AI5" s="43"/>
      <c r="AJ5" s="58"/>
      <c r="AK5" s="77"/>
      <c r="AL5" s="55"/>
      <c r="AM5" s="43"/>
      <c r="AN5" s="58"/>
      <c r="AO5" s="77"/>
      <c r="AP5" s="55"/>
      <c r="AQ5" s="43"/>
      <c r="AR5" s="58"/>
      <c r="AS5" s="30" t="s">
        <v>40</v>
      </c>
      <c r="AT5" s="31" t="s">
        <v>41</v>
      </c>
      <c r="AU5" s="31"/>
      <c r="AV5" s="32">
        <f>AS5-AT5-AU5</f>
        <v>-2</v>
      </c>
      <c r="AW5" s="49" t="s">
        <v>42</v>
      </c>
      <c r="AX5" s="42" t="s">
        <v>43</v>
      </c>
      <c r="AY5" s="42"/>
      <c r="AZ5" s="56">
        <f>AW5-AX5-AY5</f>
        <v>-20</v>
      </c>
      <c r="BA5" s="30" t="s">
        <v>44</v>
      </c>
      <c r="BB5" s="31" t="s">
        <v>45</v>
      </c>
      <c r="BC5" s="31"/>
      <c r="BD5" s="12">
        <f>BA5-BB5-BC5</f>
        <v>-2</v>
      </c>
      <c r="BE5" t="s">
        <v>34</v>
      </c>
    </row>
    <row r="6" spans="1:57" x14ac:dyDescent="0.3">
      <c r="A6" s="3" t="s">
        <v>46</v>
      </c>
      <c r="B6" s="21" t="s">
        <v>47</v>
      </c>
      <c r="C6" s="30" t="s">
        <v>48</v>
      </c>
      <c r="D6" s="31"/>
      <c r="E6" s="32">
        <f t="shared" si="0"/>
        <v>-30</v>
      </c>
      <c r="F6" s="30" t="s">
        <v>26</v>
      </c>
      <c r="G6" s="31"/>
      <c r="H6" s="32">
        <f t="shared" si="1"/>
        <v>-4</v>
      </c>
      <c r="I6" s="49" t="s">
        <v>49</v>
      </c>
      <c r="J6" s="42"/>
      <c r="K6" s="56">
        <f>$B6+$B7-I6-J6</f>
        <v>-10</v>
      </c>
      <c r="L6" s="49" t="s">
        <v>50</v>
      </c>
      <c r="M6" s="42"/>
      <c r="N6" s="56">
        <f>$B6+$B7-L6-M6</f>
        <v>-9</v>
      </c>
      <c r="O6" s="84"/>
      <c r="P6" s="54"/>
      <c r="Q6" s="85"/>
      <c r="R6" s="49">
        <f>$B6+$B7</f>
        <v>136</v>
      </c>
      <c r="S6" s="42" t="s">
        <v>51</v>
      </c>
      <c r="T6" s="42"/>
      <c r="U6" s="56">
        <f>R6-S6-T6</f>
        <v>-16</v>
      </c>
      <c r="V6" s="49">
        <f>$B6+$B7</f>
        <v>136</v>
      </c>
      <c r="W6" s="42" t="s">
        <v>52</v>
      </c>
      <c r="X6" s="42"/>
      <c r="Y6" s="56">
        <f>V6-W6-X6</f>
        <v>-23</v>
      </c>
      <c r="Z6" s="64"/>
      <c r="AA6" s="65"/>
      <c r="AB6" s="65"/>
      <c r="AC6" s="66"/>
      <c r="AD6" s="30" t="s">
        <v>53</v>
      </c>
      <c r="AE6" s="31">
        <v>36</v>
      </c>
      <c r="AF6" s="32">
        <f t="shared" si="2"/>
        <v>-38</v>
      </c>
      <c r="AG6" s="49">
        <f>$B6+$B7</f>
        <v>136</v>
      </c>
      <c r="AH6" s="42" t="s">
        <v>54</v>
      </c>
      <c r="AI6" s="42"/>
      <c r="AJ6" s="56">
        <f>AG6-AH6-AI6</f>
        <v>-38</v>
      </c>
      <c r="AK6" s="76" t="s">
        <v>55</v>
      </c>
      <c r="AL6" s="70" t="s">
        <v>56</v>
      </c>
      <c r="AM6" s="42"/>
      <c r="AN6" s="56">
        <f>AK6-AL6-AM6</f>
        <v>-35</v>
      </c>
      <c r="AO6" s="76" t="s">
        <v>45</v>
      </c>
      <c r="AP6" s="70" t="s">
        <v>57</v>
      </c>
      <c r="AQ6" s="42"/>
      <c r="AR6" s="56">
        <f>AO6-AP6-AQ6</f>
        <v>-16</v>
      </c>
      <c r="AS6" s="30" t="s">
        <v>58</v>
      </c>
      <c r="AT6" s="31" t="s">
        <v>59</v>
      </c>
      <c r="AU6" s="31"/>
      <c r="AV6" s="32">
        <f>AS6-AT6-AU6</f>
        <v>-5</v>
      </c>
      <c r="AW6" s="87"/>
      <c r="AX6" s="60"/>
      <c r="AY6" s="60"/>
      <c r="AZ6" s="57"/>
      <c r="BA6" s="30" t="s">
        <v>60</v>
      </c>
      <c r="BB6" s="31" t="s">
        <v>44</v>
      </c>
      <c r="BC6" s="31"/>
      <c r="BD6" s="12">
        <f>BA6-BB6-BC6</f>
        <v>-5</v>
      </c>
      <c r="BE6" t="s">
        <v>34</v>
      </c>
    </row>
    <row r="7" spans="1:57" ht="15" customHeight="1" thickBot="1" x14ac:dyDescent="0.35">
      <c r="A7" s="3" t="s">
        <v>61</v>
      </c>
      <c r="B7" s="21" t="s">
        <v>62</v>
      </c>
      <c r="C7" s="30" t="s">
        <v>63</v>
      </c>
      <c r="D7" s="31"/>
      <c r="E7" s="32">
        <f t="shared" si="0"/>
        <v>-2</v>
      </c>
      <c r="F7" s="30" t="s">
        <v>64</v>
      </c>
      <c r="G7" s="31"/>
      <c r="H7" s="32">
        <f t="shared" si="1"/>
        <v>-4</v>
      </c>
      <c r="I7" s="50"/>
      <c r="J7" s="43"/>
      <c r="K7" s="58"/>
      <c r="L7" s="50"/>
      <c r="M7" s="43"/>
      <c r="N7" s="58"/>
      <c r="O7" s="30" t="s">
        <v>26</v>
      </c>
      <c r="P7" s="31"/>
      <c r="Q7" s="32">
        <f>$B7-O7-P7</f>
        <v>-12</v>
      </c>
      <c r="R7" s="50"/>
      <c r="S7" s="43"/>
      <c r="T7" s="43"/>
      <c r="U7" s="58"/>
      <c r="V7" s="50"/>
      <c r="W7" s="43"/>
      <c r="X7" s="43"/>
      <c r="Y7" s="58"/>
      <c r="Z7" s="84"/>
      <c r="AA7" s="54"/>
      <c r="AB7" s="54"/>
      <c r="AC7" s="85"/>
      <c r="AD7" s="30" t="s">
        <v>63</v>
      </c>
      <c r="AE7" s="31"/>
      <c r="AF7" s="32">
        <f t="shared" si="2"/>
        <v>-2</v>
      </c>
      <c r="AG7" s="50"/>
      <c r="AH7" s="43"/>
      <c r="AI7" s="43"/>
      <c r="AJ7" s="58"/>
      <c r="AK7" s="77"/>
      <c r="AL7" s="55"/>
      <c r="AM7" s="43"/>
      <c r="AN7" s="58"/>
      <c r="AO7" s="77"/>
      <c r="AP7" s="55"/>
      <c r="AQ7" s="43"/>
      <c r="AR7" s="58"/>
      <c r="AS7" s="47"/>
      <c r="AT7" s="62"/>
      <c r="AU7" s="62"/>
      <c r="AV7" s="63"/>
      <c r="AW7" s="87"/>
      <c r="AX7" s="60"/>
      <c r="AY7" s="60"/>
      <c r="AZ7" s="57"/>
      <c r="BA7" s="30" t="s">
        <v>65</v>
      </c>
      <c r="BB7" s="31" t="s">
        <v>66</v>
      </c>
      <c r="BC7" s="31"/>
      <c r="BD7" s="12">
        <f>BA7-BB7-BC7</f>
        <v>-14</v>
      </c>
      <c r="BE7" t="s">
        <v>34</v>
      </c>
    </row>
    <row r="8" spans="1:57" ht="15" customHeight="1" thickTop="1" x14ac:dyDescent="0.3">
      <c r="A8" s="3" t="s">
        <v>67</v>
      </c>
      <c r="B8" s="21" t="s">
        <v>33</v>
      </c>
      <c r="C8" s="30" t="s">
        <v>68</v>
      </c>
      <c r="D8" s="31"/>
      <c r="E8" s="32">
        <f t="shared" si="0"/>
        <v>-19</v>
      </c>
      <c r="F8" s="30" t="s">
        <v>63</v>
      </c>
      <c r="G8" s="31"/>
      <c r="H8" s="32">
        <f t="shared" si="1"/>
        <v>5</v>
      </c>
      <c r="I8" s="30" t="s">
        <v>63</v>
      </c>
      <c r="J8" s="31"/>
      <c r="K8" s="32">
        <f>$B8-I8-J8</f>
        <v>5</v>
      </c>
      <c r="L8" s="86" t="s">
        <v>25</v>
      </c>
      <c r="M8" s="59"/>
      <c r="N8" s="75">
        <f>$B8+$B9-L8-M8</f>
        <v>-32</v>
      </c>
      <c r="O8" s="30" t="s">
        <v>63</v>
      </c>
      <c r="P8" s="31"/>
      <c r="Q8" s="32">
        <f>$B8-O8-P8</f>
        <v>5</v>
      </c>
      <c r="R8" s="49">
        <f>$B8+$B9</f>
        <v>128</v>
      </c>
      <c r="S8" s="42" t="s">
        <v>69</v>
      </c>
      <c r="T8" s="42"/>
      <c r="U8" s="56">
        <f>R8-S8-T8</f>
        <v>13</v>
      </c>
      <c r="V8" s="49">
        <f>$B8+$B9</f>
        <v>128</v>
      </c>
      <c r="W8" s="42" t="s">
        <v>70</v>
      </c>
      <c r="X8" s="42"/>
      <c r="Y8" s="56">
        <f>V8-W8-X8</f>
        <v>-28</v>
      </c>
      <c r="Z8" s="49">
        <f>$B8+$B9</f>
        <v>128</v>
      </c>
      <c r="AA8" s="42" t="s">
        <v>71</v>
      </c>
      <c r="AB8" s="42"/>
      <c r="AC8" s="56">
        <f>Z8-AA8-AB8</f>
        <v>3</v>
      </c>
      <c r="AD8" s="30" t="s">
        <v>39</v>
      </c>
      <c r="AE8" s="31"/>
      <c r="AF8" s="32">
        <f t="shared" si="2"/>
        <v>-7</v>
      </c>
      <c r="AG8" s="49">
        <f>$B8+$B9</f>
        <v>128</v>
      </c>
      <c r="AH8" s="42" t="s">
        <v>70</v>
      </c>
      <c r="AI8" s="42"/>
      <c r="AJ8" s="56">
        <f>AG8-AH8-AI8</f>
        <v>-28</v>
      </c>
      <c r="AK8" s="71" t="s">
        <v>26</v>
      </c>
      <c r="AL8" s="73" t="s">
        <v>69</v>
      </c>
      <c r="AM8" s="59"/>
      <c r="AN8" s="75">
        <f>AK8-AL8-AM8</f>
        <v>-39</v>
      </c>
      <c r="AO8" s="71" t="s">
        <v>72</v>
      </c>
      <c r="AP8" s="73" t="s">
        <v>72</v>
      </c>
      <c r="AQ8" s="59"/>
      <c r="AR8" s="75">
        <f>AO8-AP8-AQ8</f>
        <v>0</v>
      </c>
      <c r="AS8" s="64"/>
      <c r="AT8" s="65"/>
      <c r="AU8" s="65"/>
      <c r="AV8" s="66"/>
      <c r="AW8" s="50"/>
      <c r="AX8" s="43"/>
      <c r="AY8" s="43"/>
      <c r="AZ8" s="58"/>
      <c r="BA8" s="30" t="s">
        <v>73</v>
      </c>
      <c r="BB8" s="31" t="s">
        <v>74</v>
      </c>
      <c r="BC8" s="31"/>
      <c r="BD8" s="12">
        <f>BA8-BB8-BC8</f>
        <v>-18</v>
      </c>
      <c r="BE8" t="s">
        <v>75</v>
      </c>
    </row>
    <row r="9" spans="1:57" ht="15" customHeight="1" thickBot="1" x14ac:dyDescent="0.35">
      <c r="A9" s="3" t="s">
        <v>76</v>
      </c>
      <c r="B9" s="22" t="s">
        <v>77</v>
      </c>
      <c r="C9" s="34" t="s">
        <v>78</v>
      </c>
      <c r="D9" s="33"/>
      <c r="E9" s="35">
        <f t="shared" si="0"/>
        <v>-27</v>
      </c>
      <c r="F9" s="34" t="s">
        <v>79</v>
      </c>
      <c r="G9" s="33"/>
      <c r="H9" s="35">
        <f t="shared" si="1"/>
        <v>-23</v>
      </c>
      <c r="I9" s="34" t="s">
        <v>38</v>
      </c>
      <c r="J9" s="33"/>
      <c r="K9" s="35">
        <f>$B9-I9-J9</f>
        <v>-25</v>
      </c>
      <c r="L9" s="87"/>
      <c r="M9" s="60"/>
      <c r="N9" s="57"/>
      <c r="O9" s="30" t="s">
        <v>70</v>
      </c>
      <c r="P9" s="31"/>
      <c r="Q9" s="32">
        <f>$B9-O9-P9</f>
        <v>-99</v>
      </c>
      <c r="R9" s="50"/>
      <c r="S9" s="43"/>
      <c r="T9" s="43"/>
      <c r="U9" s="58"/>
      <c r="V9" s="50"/>
      <c r="W9" s="43"/>
      <c r="X9" s="43"/>
      <c r="Y9" s="58"/>
      <c r="Z9" s="50"/>
      <c r="AA9" s="43"/>
      <c r="AB9" s="43"/>
      <c r="AC9" s="58"/>
      <c r="AD9" s="34" t="s">
        <v>80</v>
      </c>
      <c r="AE9" s="33"/>
      <c r="AF9" s="35">
        <f t="shared" si="2"/>
        <v>-13</v>
      </c>
      <c r="AG9" s="50"/>
      <c r="AH9" s="43"/>
      <c r="AI9" s="43"/>
      <c r="AJ9" s="58"/>
      <c r="AK9" s="72"/>
      <c r="AL9" s="74"/>
      <c r="AM9" s="60"/>
      <c r="AN9" s="57"/>
      <c r="AO9" s="72"/>
      <c r="AP9" s="74"/>
      <c r="AQ9" s="60"/>
      <c r="AR9" s="57"/>
      <c r="AS9" s="64"/>
      <c r="AT9" s="65"/>
      <c r="AU9" s="65"/>
      <c r="AV9" s="66"/>
      <c r="AW9" s="47"/>
      <c r="AX9" s="62"/>
      <c r="AY9" s="62"/>
      <c r="AZ9" s="63"/>
      <c r="BA9" s="34" t="s">
        <v>65</v>
      </c>
      <c r="BB9" s="33" t="s">
        <v>81</v>
      </c>
      <c r="BC9" s="33"/>
      <c r="BD9" s="13">
        <f>BA9-BB9-BC9</f>
        <v>-28</v>
      </c>
      <c r="BE9" t="s">
        <v>34</v>
      </c>
    </row>
    <row r="10" spans="1:57" ht="15" customHeight="1" thickTop="1" thickBot="1" x14ac:dyDescent="0.35">
      <c r="A10" s="27" t="s">
        <v>82</v>
      </c>
      <c r="B10" s="28" t="s">
        <v>83</v>
      </c>
      <c r="C10" s="23" t="s">
        <v>77</v>
      </c>
      <c r="D10" s="24"/>
      <c r="E10" s="25">
        <f t="shared" si="0"/>
        <v>-4</v>
      </c>
      <c r="F10" s="23" t="s">
        <v>84</v>
      </c>
      <c r="G10" s="24"/>
      <c r="H10" s="25">
        <f t="shared" si="1"/>
        <v>-2</v>
      </c>
      <c r="I10" s="23" t="s">
        <v>57</v>
      </c>
      <c r="J10" s="24"/>
      <c r="K10" s="25">
        <f>$B10-I10-J10</f>
        <v>-5</v>
      </c>
      <c r="L10" s="23" t="s">
        <v>83</v>
      </c>
      <c r="M10" s="24"/>
      <c r="N10" s="25">
        <f>$B10-L10-M10</f>
        <v>0</v>
      </c>
      <c r="O10" s="23" t="s">
        <v>85</v>
      </c>
      <c r="P10" s="24"/>
      <c r="Q10" s="25">
        <f>$B10-O10-P10</f>
        <v>-8</v>
      </c>
      <c r="R10" s="23" t="s">
        <v>86</v>
      </c>
      <c r="S10" s="24" t="s">
        <v>83</v>
      </c>
      <c r="T10" s="24"/>
      <c r="U10" s="25">
        <f>R10-S10-T10</f>
        <v>-7</v>
      </c>
      <c r="V10" s="23" t="s">
        <v>74</v>
      </c>
      <c r="W10" s="24" t="s">
        <v>84</v>
      </c>
      <c r="X10" s="24"/>
      <c r="Y10" s="25">
        <f>V10-W10-X10</f>
        <v>-7</v>
      </c>
      <c r="Z10" s="47"/>
      <c r="AA10" s="48"/>
      <c r="AB10" s="48"/>
      <c r="AC10" s="38"/>
      <c r="AD10" s="23" t="s">
        <v>87</v>
      </c>
      <c r="AE10" s="24"/>
      <c r="AF10" s="25">
        <f t="shared" si="2"/>
        <v>-1</v>
      </c>
      <c r="AG10" s="23" t="s">
        <v>66</v>
      </c>
      <c r="AH10" s="24" t="s">
        <v>44</v>
      </c>
      <c r="AI10" s="24"/>
      <c r="AJ10" s="25">
        <f>AG10-AH10-AI10</f>
        <v>-3</v>
      </c>
      <c r="AK10" s="47"/>
      <c r="AL10" s="48"/>
      <c r="AM10" s="48"/>
      <c r="AN10" s="38"/>
      <c r="AO10" s="47"/>
      <c r="AP10" s="48"/>
      <c r="AQ10" s="48"/>
      <c r="AR10" s="38"/>
      <c r="AS10" s="67"/>
      <c r="AT10" s="68"/>
      <c r="AU10" s="68"/>
      <c r="AV10" s="69"/>
      <c r="AW10" s="67"/>
      <c r="AX10" s="68"/>
      <c r="AY10" s="68"/>
      <c r="AZ10" s="69"/>
      <c r="BA10" s="47"/>
      <c r="BB10" s="48"/>
      <c r="BC10" s="48"/>
      <c r="BD10" s="38"/>
      <c r="BE10" t="s">
        <v>34</v>
      </c>
    </row>
    <row r="11" spans="1:57" ht="15.6" customHeight="1" thickTop="1" thickBot="1" x14ac:dyDescent="0.3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5"/>
      <c r="S11" s="15"/>
      <c r="T11" s="15"/>
      <c r="U11" s="15"/>
      <c r="V11" s="18"/>
      <c r="W11" s="14"/>
      <c r="X11" s="14"/>
      <c r="Y11" s="14"/>
      <c r="Z11" s="18"/>
      <c r="AA11" s="14"/>
      <c r="AB11" s="14"/>
      <c r="AC11" s="14"/>
      <c r="AD11" s="14"/>
      <c r="AE11" s="14"/>
      <c r="AF11" s="14"/>
      <c r="AG11" s="18"/>
      <c r="AH11" s="14"/>
      <c r="AI11" s="14"/>
      <c r="AJ11" s="14"/>
    </row>
    <row r="12" spans="1:57" ht="15" customHeight="1" thickTop="1" x14ac:dyDescent="0.3">
      <c r="A12" s="78"/>
      <c r="B12" s="40"/>
      <c r="C12" s="39" t="s">
        <v>1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1"/>
      <c r="AQ12" s="19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7" x14ac:dyDescent="0.3">
      <c r="A13" s="88"/>
      <c r="B13" s="85"/>
      <c r="C13" s="53" t="s">
        <v>3</v>
      </c>
      <c r="D13" s="54"/>
      <c r="E13" s="54"/>
      <c r="F13" s="55"/>
      <c r="G13" s="53" t="s">
        <v>88</v>
      </c>
      <c r="H13" s="54"/>
      <c r="I13" s="54"/>
      <c r="J13" s="55"/>
      <c r="K13" s="53" t="s">
        <v>89</v>
      </c>
      <c r="L13" s="54"/>
      <c r="M13" s="54"/>
      <c r="N13" s="55"/>
      <c r="O13" s="53" t="s">
        <v>7</v>
      </c>
      <c r="P13" s="54"/>
      <c r="Q13" s="54"/>
      <c r="R13" s="55"/>
      <c r="S13" s="53" t="s">
        <v>8</v>
      </c>
      <c r="T13" s="54"/>
      <c r="U13" s="54"/>
      <c r="V13" s="55"/>
      <c r="W13" s="53" t="s">
        <v>90</v>
      </c>
      <c r="X13" s="54"/>
      <c r="Y13" s="54"/>
      <c r="Z13" s="55"/>
      <c r="AA13" s="53" t="s">
        <v>91</v>
      </c>
      <c r="AB13" s="54"/>
      <c r="AC13" s="54"/>
      <c r="AD13" s="55"/>
      <c r="AE13" s="53" t="s">
        <v>11</v>
      </c>
      <c r="AF13" s="54"/>
      <c r="AG13" s="54"/>
      <c r="AH13" s="55"/>
      <c r="AI13" s="53" t="s">
        <v>92</v>
      </c>
      <c r="AJ13" s="54"/>
      <c r="AK13" s="54"/>
      <c r="AL13" s="55"/>
      <c r="AM13" s="53" t="s">
        <v>93</v>
      </c>
      <c r="AN13" s="54"/>
      <c r="AO13" s="54"/>
      <c r="AP13" s="55"/>
      <c r="AQ13" s="20"/>
      <c r="AR13" s="1"/>
      <c r="AS13" s="1"/>
      <c r="AT13" s="1"/>
      <c r="AU13" s="16"/>
      <c r="AV13" s="16"/>
      <c r="AW13" s="16"/>
      <c r="AX13" s="16"/>
      <c r="AY13" s="16"/>
      <c r="AZ13" s="16"/>
      <c r="BA13" s="16"/>
      <c r="BB13" s="16"/>
      <c r="BC13" s="16"/>
      <c r="BD13" s="16"/>
    </row>
    <row r="14" spans="1:57" ht="57.6" customHeight="1" x14ac:dyDescent="0.3">
      <c r="A14" s="79"/>
      <c r="B14" s="52"/>
      <c r="C14" s="8" t="s">
        <v>17</v>
      </c>
      <c r="D14" s="5" t="s">
        <v>18</v>
      </c>
      <c r="E14" s="5" t="s">
        <v>19</v>
      </c>
      <c r="F14" s="9" t="s">
        <v>20</v>
      </c>
      <c r="G14" s="8" t="s">
        <v>17</v>
      </c>
      <c r="H14" s="5" t="s">
        <v>18</v>
      </c>
      <c r="I14" s="5" t="s">
        <v>19</v>
      </c>
      <c r="J14" s="9" t="s">
        <v>20</v>
      </c>
      <c r="K14" s="8" t="s">
        <v>17</v>
      </c>
      <c r="L14" s="5" t="s">
        <v>18</v>
      </c>
      <c r="M14" s="5" t="s">
        <v>19</v>
      </c>
      <c r="N14" s="9" t="s">
        <v>20</v>
      </c>
      <c r="O14" s="8" t="s">
        <v>17</v>
      </c>
      <c r="P14" s="5" t="s">
        <v>18</v>
      </c>
      <c r="Q14" s="5" t="s">
        <v>19</v>
      </c>
      <c r="R14" s="9" t="s">
        <v>20</v>
      </c>
      <c r="S14" s="8" t="s">
        <v>17</v>
      </c>
      <c r="T14" s="5" t="s">
        <v>18</v>
      </c>
      <c r="U14" s="5" t="s">
        <v>19</v>
      </c>
      <c r="V14" s="9" t="s">
        <v>20</v>
      </c>
      <c r="W14" s="8" t="s">
        <v>17</v>
      </c>
      <c r="X14" s="5" t="s">
        <v>18</v>
      </c>
      <c r="Y14" s="5" t="s">
        <v>19</v>
      </c>
      <c r="Z14" s="9" t="s">
        <v>20</v>
      </c>
      <c r="AA14" s="8" t="s">
        <v>17</v>
      </c>
      <c r="AB14" s="5" t="s">
        <v>18</v>
      </c>
      <c r="AC14" s="5" t="s">
        <v>19</v>
      </c>
      <c r="AD14" s="9" t="s">
        <v>20</v>
      </c>
      <c r="AE14" s="8" t="s">
        <v>17</v>
      </c>
      <c r="AF14" s="5" t="s">
        <v>18</v>
      </c>
      <c r="AG14" s="5" t="s">
        <v>19</v>
      </c>
      <c r="AH14" s="9" t="s">
        <v>20</v>
      </c>
      <c r="AI14" s="8" t="s">
        <v>17</v>
      </c>
      <c r="AJ14" s="5" t="s">
        <v>18</v>
      </c>
      <c r="AK14" s="5" t="s">
        <v>19</v>
      </c>
      <c r="AL14" s="9" t="s">
        <v>20</v>
      </c>
      <c r="AM14" s="8" t="s">
        <v>17</v>
      </c>
      <c r="AN14" s="5" t="s">
        <v>18</v>
      </c>
      <c r="AO14" s="5" t="s">
        <v>19</v>
      </c>
      <c r="AP14" s="7" t="s">
        <v>20</v>
      </c>
      <c r="AQ14" s="19"/>
    </row>
    <row r="15" spans="1:57" ht="15" customHeight="1" thickBot="1" x14ac:dyDescent="0.35">
      <c r="A15" s="37" t="s">
        <v>94</v>
      </c>
      <c r="B15" s="38"/>
      <c r="C15" s="23" t="s">
        <v>95</v>
      </c>
      <c r="D15" s="24" t="s">
        <v>96</v>
      </c>
      <c r="E15" s="24"/>
      <c r="F15" s="25">
        <f>C15-D15-E15</f>
        <v>-2</v>
      </c>
      <c r="G15" s="23" t="s">
        <v>97</v>
      </c>
      <c r="H15" s="24" t="s">
        <v>98</v>
      </c>
      <c r="I15" s="24"/>
      <c r="J15" s="25">
        <f>G15-H15-I15</f>
        <v>-1</v>
      </c>
      <c r="K15" s="23" t="s">
        <v>99</v>
      </c>
      <c r="L15" s="24" t="s">
        <v>58</v>
      </c>
      <c r="M15" s="24"/>
      <c r="N15" s="25">
        <f>K15-L15-M15</f>
        <v>-4</v>
      </c>
      <c r="O15" s="23" t="s">
        <v>59</v>
      </c>
      <c r="P15" s="24" t="s">
        <v>100</v>
      </c>
      <c r="Q15" s="24"/>
      <c r="R15" s="25">
        <f>O15-P15-Q15</f>
        <v>-2</v>
      </c>
      <c r="S15" s="23" t="s">
        <v>101</v>
      </c>
      <c r="T15" s="24" t="s">
        <v>102</v>
      </c>
      <c r="U15" s="24"/>
      <c r="V15" s="25">
        <f>S15-T15-U15</f>
        <v>-2</v>
      </c>
      <c r="W15" s="23" t="s">
        <v>101</v>
      </c>
      <c r="X15" s="24" t="s">
        <v>102</v>
      </c>
      <c r="Y15" s="24"/>
      <c r="Z15" s="25">
        <f>W15-X15-Y15</f>
        <v>-2</v>
      </c>
      <c r="AA15" s="23" t="s">
        <v>40</v>
      </c>
      <c r="AB15" s="24" t="s">
        <v>41</v>
      </c>
      <c r="AC15" s="24"/>
      <c r="AD15" s="25">
        <f>AA15-AB15-AC15</f>
        <v>-2</v>
      </c>
      <c r="AE15" s="23" t="s">
        <v>65</v>
      </c>
      <c r="AF15" s="24" t="s">
        <v>103</v>
      </c>
      <c r="AG15" s="24"/>
      <c r="AH15" s="25">
        <f>AE15-AF15-AG15</f>
        <v>-2</v>
      </c>
      <c r="AI15" s="23" t="s">
        <v>104</v>
      </c>
      <c r="AJ15" s="24" t="s">
        <v>105</v>
      </c>
      <c r="AK15" s="24"/>
      <c r="AL15" s="25">
        <f>AI15-AJ15-AK15</f>
        <v>-2</v>
      </c>
      <c r="AM15" s="23" t="s">
        <v>104</v>
      </c>
      <c r="AN15" s="24" t="s">
        <v>105</v>
      </c>
      <c r="AO15" s="24"/>
      <c r="AP15" s="26">
        <f>AM15-AN15-AO15</f>
        <v>-2</v>
      </c>
      <c r="AQ15" t="s">
        <v>34</v>
      </c>
    </row>
    <row r="16" spans="1:57" ht="15" customHeight="1" thickTop="1" x14ac:dyDescent="0.3"/>
    <row r="19" spans="9:56" x14ac:dyDescent="0.3">
      <c r="T19" s="29"/>
      <c r="U19" s="29"/>
    </row>
    <row r="20" spans="9:56" x14ac:dyDescent="0.3">
      <c r="J20" s="16"/>
      <c r="K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7"/>
      <c r="AT20" s="17"/>
      <c r="AU20" s="17"/>
      <c r="AV20" s="17"/>
      <c r="AW20" s="16"/>
      <c r="AX20" s="16"/>
      <c r="AY20" s="16"/>
      <c r="AZ20" s="16"/>
      <c r="BA20" s="17"/>
      <c r="BB20" s="17"/>
      <c r="BC20" s="17"/>
      <c r="BD20" s="17"/>
    </row>
    <row r="21" spans="9:56" x14ac:dyDescent="0.3">
      <c r="J21" s="16"/>
      <c r="K21" s="16"/>
      <c r="L21" s="16"/>
      <c r="M21" s="16"/>
      <c r="N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7"/>
      <c r="AT21" s="17"/>
      <c r="AU21" s="17"/>
      <c r="AV21" s="17"/>
      <c r="AW21" s="16"/>
      <c r="AX21" s="16"/>
      <c r="AY21" s="16"/>
      <c r="AZ21" s="16"/>
      <c r="BA21" s="17"/>
      <c r="BB21" s="17"/>
      <c r="BC21" s="17"/>
      <c r="BD21" s="17"/>
    </row>
    <row r="22" spans="9:56" ht="23.4" customHeight="1" x14ac:dyDescent="0.3">
      <c r="I22" s="16"/>
    </row>
  </sheetData>
  <mergeCells count="123">
    <mergeCell ref="A13:B13"/>
    <mergeCell ref="AK4:AK5"/>
    <mergeCell ref="I4:I5"/>
    <mergeCell ref="S4:S5"/>
    <mergeCell ref="Z4:AC7"/>
    <mergeCell ref="U4:U5"/>
    <mergeCell ref="AG2:AJ2"/>
    <mergeCell ref="AO6:AO7"/>
    <mergeCell ref="AQ6:AQ7"/>
    <mergeCell ref="BA10:BD10"/>
    <mergeCell ref="C1:AJ1"/>
    <mergeCell ref="W4:W5"/>
    <mergeCell ref="V8:V9"/>
    <mergeCell ref="Y4:Y5"/>
    <mergeCell ref="X8:X9"/>
    <mergeCell ref="A12:B12"/>
    <mergeCell ref="K4:K5"/>
    <mergeCell ref="A14:B14"/>
    <mergeCell ref="T6:T7"/>
    <mergeCell ref="L2:N2"/>
    <mergeCell ref="AK1:BD1"/>
    <mergeCell ref="G13:J13"/>
    <mergeCell ref="Y8:Y9"/>
    <mergeCell ref="AK8:AK9"/>
    <mergeCell ref="AA8:AA9"/>
    <mergeCell ref="S13:V13"/>
    <mergeCell ref="Z2:AC2"/>
    <mergeCell ref="AL6:AL7"/>
    <mergeCell ref="AN6:AN7"/>
    <mergeCell ref="AE13:AH13"/>
    <mergeCell ref="R4:R5"/>
    <mergeCell ref="T4:T5"/>
    <mergeCell ref="V4:V5"/>
    <mergeCell ref="BA4:BD4"/>
    <mergeCell ref="AN4:AN5"/>
    <mergeCell ref="O4:Q6"/>
    <mergeCell ref="AC8:AC9"/>
    <mergeCell ref="J6:J7"/>
    <mergeCell ref="AH4:AH5"/>
    <mergeCell ref="C2:E2"/>
    <mergeCell ref="Z8:Z9"/>
    <mergeCell ref="AB8:AB9"/>
    <mergeCell ref="AO2:AR2"/>
    <mergeCell ref="T8:T9"/>
    <mergeCell ref="AM4:AM5"/>
    <mergeCell ref="AO4:AO5"/>
    <mergeCell ref="S6:S7"/>
    <mergeCell ref="BA2:BD2"/>
    <mergeCell ref="V6:V7"/>
    <mergeCell ref="X6:X7"/>
    <mergeCell ref="L8:L9"/>
    <mergeCell ref="N8:N9"/>
    <mergeCell ref="AI4:AI5"/>
    <mergeCell ref="M6:M7"/>
    <mergeCell ref="AW2:AZ2"/>
    <mergeCell ref="O2:Q2"/>
    <mergeCell ref="Y6:Y7"/>
    <mergeCell ref="AW5:AW8"/>
    <mergeCell ref="AK6:AK7"/>
    <mergeCell ref="AY5:AY8"/>
    <mergeCell ref="AM6:AM7"/>
    <mergeCell ref="AL8:AL9"/>
    <mergeCell ref="AN8:AN9"/>
    <mergeCell ref="AW9:AZ10"/>
    <mergeCell ref="AA13:AD13"/>
    <mergeCell ref="AS4:AV4"/>
    <mergeCell ref="U8:U9"/>
    <mergeCell ref="X4:X5"/>
    <mergeCell ref="M8:M9"/>
    <mergeCell ref="W8:W9"/>
    <mergeCell ref="L6:L7"/>
    <mergeCell ref="AG8:AG9"/>
    <mergeCell ref="AJ4:AJ5"/>
    <mergeCell ref="N6:N7"/>
    <mergeCell ref="AI8:AI9"/>
    <mergeCell ref="AL4:AL5"/>
    <mergeCell ref="AX5:AX8"/>
    <mergeCell ref="AM8:AM9"/>
    <mergeCell ref="AP4:AP5"/>
    <mergeCell ref="R8:R9"/>
    <mergeCell ref="AO8:AO9"/>
    <mergeCell ref="AK10:AN10"/>
    <mergeCell ref="AP8:AP9"/>
    <mergeCell ref="AR8:AR9"/>
    <mergeCell ref="AI6:AI7"/>
    <mergeCell ref="K6:K7"/>
    <mergeCell ref="AS2:AV2"/>
    <mergeCell ref="U6:U7"/>
    <mergeCell ref="W6:W7"/>
    <mergeCell ref="AO10:AR10"/>
    <mergeCell ref="AG6:AG7"/>
    <mergeCell ref="AH8:AH9"/>
    <mergeCell ref="AJ8:AJ9"/>
    <mergeCell ref="K13:N13"/>
    <mergeCell ref="AD2:AF2"/>
    <mergeCell ref="AQ4:AQ5"/>
    <mergeCell ref="AP6:AP7"/>
    <mergeCell ref="AR6:AR7"/>
    <mergeCell ref="AK2:AN2"/>
    <mergeCell ref="A15:B15"/>
    <mergeCell ref="C12:AP12"/>
    <mergeCell ref="S8:S9"/>
    <mergeCell ref="F2:H2"/>
    <mergeCell ref="Z10:AC10"/>
    <mergeCell ref="R6:R7"/>
    <mergeCell ref="R2:U2"/>
    <mergeCell ref="C13:F13"/>
    <mergeCell ref="AZ5:AZ8"/>
    <mergeCell ref="W13:Z13"/>
    <mergeCell ref="O13:R13"/>
    <mergeCell ref="J4:J5"/>
    <mergeCell ref="AR4:AR5"/>
    <mergeCell ref="AQ8:AQ9"/>
    <mergeCell ref="AI13:AL13"/>
    <mergeCell ref="V2:Y2"/>
    <mergeCell ref="AH6:AH7"/>
    <mergeCell ref="AJ6:AJ7"/>
    <mergeCell ref="AM13:AP13"/>
    <mergeCell ref="AW4:AZ4"/>
    <mergeCell ref="AS7:AV10"/>
    <mergeCell ref="I2:K2"/>
    <mergeCell ref="I6:I7"/>
    <mergeCell ref="AG4:AG5"/>
  </mergeCells>
  <conditionalFormatting sqref="E4:E10 F15 H4:H10 J15 K4:K10 N4:N10 N15 Q7:Q10 R15 U4:U10 V15 Y4:Y10 Z15 AC8 AD15 AF4:AF10 AH15 AJ4:AJ10 AL15 AN4:AN9 AP15 AR4:AR9 AV5:AV6 AZ5 BD5:BD9">
    <cfRule type="containsText" dxfId="7" priority="77" operator="containsText" text=" ">
      <formula>NOT(ISERROR(SEARCH(" ",E4)))</formula>
    </cfRule>
    <cfRule type="cellIs" dxfId="5" priority="78" operator="lessThan">
      <formula>-5</formula>
    </cfRule>
    <cfRule type="cellIs" dxfId="4" priority="79" operator="between">
      <formula>0</formula>
      <formula>-5</formula>
    </cfRule>
    <cfRule type="cellIs" dxfId="6" priority="80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Bestand- und Nachbestellung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Podleschny</dc:creator>
  <cp:lastModifiedBy>Lukas Podleschny</cp:lastModifiedBy>
  <dcterms:created xsi:type="dcterms:W3CDTF">2025-06-19T17:00:03Z</dcterms:created>
  <dcterms:modified xsi:type="dcterms:W3CDTF">2025-08-14T11:04:39Z</dcterms:modified>
</cp:coreProperties>
</file>